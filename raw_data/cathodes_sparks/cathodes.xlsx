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hegde/Codes/matdisco-trajectories/raw_data/cathodes_sparks/"/>
    </mc:Choice>
  </mc:AlternateContent>
  <xr:revisionPtr revIDLastSave="0" documentId="8_{D7191542-D06C-EB4F-9E34-CF3C0DE01FD0}" xr6:coauthVersionLast="46" xr6:coauthVersionMax="46" xr10:uidLastSave="{00000000-0000-0000-0000-000000000000}"/>
  <bookViews>
    <workbookView xWindow="0" yWindow="460" windowWidth="38400" windowHeight="211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Sheet1!$A$1:$BH$1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08" i="1" l="1"/>
  <c r="G1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7" i="1"/>
  <c r="G8" i="1"/>
  <c r="G9" i="1"/>
  <c r="O6" i="1" l="1"/>
  <c r="E6" i="1"/>
  <c r="K6" i="1" l="1"/>
  <c r="G6" i="1" s="1"/>
  <c r="B3" i="2"/>
  <c r="BG262" i="1" l="1"/>
  <c r="BG264" i="1"/>
  <c r="BG140" i="1" l="1"/>
  <c r="BG139" i="1"/>
  <c r="BG138" i="1"/>
  <c r="BG137" i="1"/>
  <c r="Q315" i="1" l="1"/>
  <c r="Q314" i="1"/>
  <c r="Q312" i="1"/>
  <c r="Q313" i="1"/>
  <c r="Q311" i="1"/>
  <c r="Q310" i="1"/>
  <c r="Q316" i="1"/>
  <c r="R333" i="1"/>
  <c r="Q333" i="1"/>
  <c r="R332" i="1"/>
  <c r="Q332" i="1"/>
  <c r="R331" i="1"/>
  <c r="Q331" i="1"/>
  <c r="R330" i="1"/>
  <c r="Q330" i="1"/>
  <c r="Q305" i="1"/>
  <c r="Q304" i="1"/>
  <c r="Q302" i="1"/>
  <c r="Q303" i="1"/>
  <c r="R303" i="1"/>
  <c r="R302" i="1"/>
  <c r="R301" i="1"/>
  <c r="Q301" i="1"/>
  <c r="Q298" i="1"/>
  <c r="Q297" i="1"/>
  <c r="R288" i="1"/>
  <c r="Q288" i="1"/>
  <c r="Q287" i="1"/>
  <c r="R287" i="1"/>
  <c r="Q260" i="1"/>
  <c r="Q261" i="1"/>
  <c r="Q259" i="1"/>
  <c r="Q258" i="1"/>
  <c r="R248" i="1"/>
  <c r="Q248" i="1"/>
  <c r="Q245" i="1"/>
  <c r="R246" i="1"/>
  <c r="Q246" i="1"/>
  <c r="R247" i="1"/>
  <c r="Q247" i="1"/>
  <c r="Q243" i="1"/>
  <c r="Q241" i="1"/>
  <c r="Q240" i="1"/>
  <c r="Q239" i="1"/>
  <c r="R236" i="1" l="1"/>
  <c r="Q236" i="1"/>
  <c r="R230" i="1"/>
  <c r="R231" i="1"/>
  <c r="R232" i="1"/>
  <c r="Q223" i="1"/>
  <c r="Q224" i="1"/>
  <c r="Q229" i="1"/>
  <c r="Q228" i="1"/>
  <c r="Q227" i="1"/>
  <c r="Q226" i="1"/>
  <c r="Q225" i="1"/>
  <c r="Q211" i="1"/>
  <c r="R211" i="1"/>
  <c r="R212" i="1"/>
  <c r="Q212" i="1"/>
  <c r="Q210" i="1"/>
  <c r="R210" i="1"/>
  <c r="Q206" i="1"/>
  <c r="Q205" i="1"/>
  <c r="Q204" i="1"/>
  <c r="Q198" i="1"/>
  <c r="Q191" i="1"/>
  <c r="Q190" i="1"/>
  <c r="Q189" i="1"/>
  <c r="Q188" i="1"/>
  <c r="Q187" i="1"/>
  <c r="R183" i="1"/>
  <c r="R182" i="1"/>
  <c r="R181" i="1"/>
  <c r="R180" i="1"/>
  <c r="R179" i="1"/>
  <c r="Q179" i="1"/>
  <c r="R178" i="1"/>
  <c r="Q178" i="1"/>
  <c r="R177" i="1"/>
  <c r="Q177" i="1"/>
  <c r="R176" i="1"/>
  <c r="Q176" i="1"/>
  <c r="Q175" i="1"/>
  <c r="R155" i="1"/>
  <c r="Q155" i="1"/>
  <c r="R151" i="1"/>
  <c r="Q151" i="1"/>
  <c r="R149" i="1"/>
  <c r="R145" i="1"/>
  <c r="Q133" i="1"/>
  <c r="Q132" i="1"/>
  <c r="Q131" i="1"/>
  <c r="Q130" i="1"/>
  <c r="Q126" i="1"/>
  <c r="I4" i="5"/>
  <c r="Q106" i="1"/>
  <c r="Q103" i="1"/>
  <c r="Q60" i="1"/>
  <c r="Q59" i="1"/>
  <c r="Q57" i="1"/>
  <c r="Q56" i="1"/>
  <c r="Q55" i="1"/>
  <c r="Q54" i="1"/>
  <c r="Q52" i="1"/>
  <c r="BG336" i="1" l="1"/>
  <c r="BG335" i="1"/>
  <c r="BG334" i="1"/>
  <c r="BG324" i="1"/>
  <c r="BG325" i="1"/>
  <c r="BG326" i="1"/>
  <c r="BG327" i="1"/>
  <c r="BG328" i="1"/>
  <c r="BG329" i="1"/>
  <c r="BG299" i="1"/>
  <c r="BG298" i="1"/>
  <c r="AR297" i="1"/>
  <c r="BG294" i="1"/>
  <c r="BG293" i="1"/>
  <c r="BG292" i="1"/>
  <c r="BG291" i="1"/>
  <c r="BG290" i="1"/>
  <c r="BG289" i="1"/>
  <c r="BG287" i="1"/>
  <c r="BG268" i="1"/>
  <c r="BG267" i="1"/>
  <c r="BG266" i="1"/>
  <c r="BG261" i="1"/>
  <c r="BG260" i="1"/>
  <c r="BG256" i="1"/>
  <c r="BG253" i="1"/>
  <c r="BG246" i="1"/>
  <c r="BG247" i="1"/>
  <c r="BG244" i="1"/>
  <c r="BG243" i="1"/>
  <c r="BG242" i="1"/>
  <c r="BG241" i="1"/>
  <c r="BG239" i="1"/>
  <c r="BG238" i="1"/>
  <c r="BG234" i="1"/>
  <c r="BG232" i="1"/>
  <c r="BG231" i="1"/>
  <c r="BG230" i="1"/>
  <c r="BG215" i="1"/>
  <c r="BG212" i="1"/>
  <c r="BG208" i="1"/>
  <c r="BG209" i="1"/>
  <c r="BG207" i="1"/>
  <c r="BA206" i="1"/>
  <c r="AZ206" i="1"/>
  <c r="AY206" i="1"/>
  <c r="BA205" i="1"/>
  <c r="AZ205" i="1"/>
  <c r="AY205" i="1"/>
  <c r="BD198" i="1"/>
  <c r="BE198" i="1"/>
  <c r="BG185" i="1"/>
  <c r="BG184" i="1"/>
  <c r="BG175" i="1"/>
  <c r="BG174" i="1"/>
  <c r="BG151" i="1"/>
  <c r="BG133" i="1"/>
  <c r="BG129" i="1"/>
  <c r="BG127" i="1"/>
  <c r="BG128" i="1"/>
  <c r="BG126" i="1"/>
  <c r="BG122" i="1"/>
  <c r="BG121" i="1"/>
  <c r="BG120" i="1"/>
  <c r="BG119" i="1"/>
  <c r="BG118" i="1"/>
  <c r="BG117" i="1"/>
  <c r="BG116" i="1"/>
  <c r="BG102" i="1"/>
  <c r="BG94" i="1" l="1"/>
  <c r="BG69" i="1"/>
  <c r="BG68" i="1"/>
  <c r="BG67" i="1"/>
  <c r="BG66" i="1"/>
  <c r="BG65" i="1"/>
  <c r="BG64" i="1"/>
  <c r="BG63" i="1"/>
  <c r="BG62" i="1"/>
  <c r="BG61" i="1"/>
  <c r="BG60" i="1"/>
  <c r="BG59" i="1"/>
  <c r="BG58" i="1"/>
  <c r="BG57" i="1"/>
  <c r="BG56" i="1"/>
  <c r="BG55" i="1"/>
  <c r="BG54" i="1"/>
  <c r="BG53" i="1"/>
  <c r="BG52" i="1"/>
  <c r="BG50" i="1"/>
  <c r="BG48" i="1"/>
  <c r="BG46" i="1"/>
  <c r="BG49" i="1" l="1"/>
  <c r="BG41" i="1"/>
  <c r="BG11" i="1"/>
  <c r="BG10" i="1"/>
  <c r="AW331" i="1"/>
  <c r="AW332" i="1"/>
  <c r="AX332" i="1"/>
  <c r="AW333" i="1"/>
  <c r="AX333" i="1"/>
  <c r="AW318" i="1"/>
  <c r="AX318" i="1"/>
  <c r="AW319" i="1"/>
  <c r="AX319" i="1"/>
  <c r="AW320" i="1"/>
  <c r="AX320" i="1"/>
  <c r="AW321" i="1"/>
  <c r="AX321" i="1"/>
  <c r="AW322" i="1"/>
  <c r="AX322" i="1"/>
  <c r="AW323" i="1"/>
  <c r="AX323" i="1"/>
  <c r="AW324" i="1"/>
  <c r="AX324" i="1"/>
  <c r="AW325" i="1"/>
  <c r="AX325" i="1"/>
  <c r="AW326" i="1"/>
  <c r="AX326" i="1"/>
  <c r="AW327" i="1"/>
  <c r="AX327" i="1"/>
  <c r="AW328" i="1"/>
  <c r="AX328" i="1"/>
  <c r="AW329" i="1"/>
  <c r="AX329" i="1"/>
  <c r="AW330" i="1"/>
  <c r="AX330" i="1"/>
  <c r="AX331" i="1"/>
  <c r="AX317" i="1"/>
  <c r="AW317" i="1"/>
  <c r="AW311" i="1"/>
  <c r="AX311" i="1"/>
  <c r="AW312" i="1"/>
  <c r="AX312" i="1"/>
  <c r="AW313" i="1"/>
  <c r="AX313" i="1"/>
  <c r="AW314" i="1"/>
  <c r="AX314" i="1"/>
  <c r="AW315" i="1"/>
  <c r="AX315" i="1"/>
  <c r="AX310" i="1"/>
  <c r="AW310" i="1"/>
  <c r="AU305" i="1"/>
  <c r="AU304" i="1"/>
  <c r="AX305" i="1"/>
  <c r="AW305" i="1"/>
  <c r="AX304" i="1"/>
  <c r="AW304" i="1"/>
  <c r="AX241" i="1"/>
  <c r="AW241" i="1"/>
  <c r="AX240" i="1"/>
  <c r="AW240" i="1"/>
  <c r="AX239" i="1"/>
  <c r="AW239" i="1"/>
  <c r="AX238" i="1"/>
  <c r="AW238" i="1"/>
  <c r="AX237" i="1"/>
  <c r="AW237" i="1"/>
  <c r="AX236" i="1"/>
  <c r="AW236" i="1"/>
  <c r="AX222" i="1"/>
  <c r="AW222" i="1"/>
  <c r="AX221" i="1"/>
  <c r="AW221" i="1"/>
  <c r="AX220" i="1"/>
  <c r="AW220" i="1"/>
  <c r="AX219" i="1"/>
  <c r="AW219" i="1"/>
  <c r="AX218" i="1"/>
  <c r="AW218" i="1"/>
  <c r="AX217" i="1"/>
  <c r="AW217" i="1"/>
  <c r="AX216" i="1"/>
  <c r="AW216" i="1"/>
  <c r="AX209" i="1"/>
  <c r="AW209" i="1"/>
  <c r="AX208" i="1"/>
  <c r="AW208" i="1"/>
  <c r="AX206" i="1"/>
  <c r="AW206" i="1"/>
  <c r="AX205" i="1"/>
  <c r="AW205" i="1"/>
  <c r="AX200" i="1"/>
  <c r="AW200" i="1"/>
  <c r="AX199" i="1"/>
  <c r="AW199" i="1"/>
  <c r="AX197" i="1"/>
  <c r="AW197" i="1"/>
  <c r="AX196" i="1"/>
  <c r="AW196" i="1"/>
  <c r="AX195" i="1"/>
  <c r="AW195" i="1"/>
  <c r="AX194" i="1"/>
  <c r="AW194" i="1"/>
  <c r="AX193" i="1"/>
  <c r="AW193" i="1"/>
  <c r="AX192" i="1"/>
  <c r="AW192" i="1"/>
  <c r="AX185" i="1"/>
  <c r="AW185" i="1"/>
  <c r="AX184" i="1"/>
  <c r="AW184" i="1"/>
  <c r="AW171" i="1"/>
  <c r="AX171" i="1"/>
  <c r="AW172" i="1"/>
  <c r="AX172" i="1"/>
  <c r="AW173" i="1"/>
  <c r="AX173" i="1"/>
  <c r="AX170" i="1"/>
  <c r="AW170" i="1"/>
  <c r="AW136" i="1"/>
  <c r="AX136" i="1"/>
  <c r="AW137" i="1"/>
  <c r="AX137" i="1"/>
  <c r="AW138" i="1"/>
  <c r="AX138" i="1"/>
  <c r="AW139" i="1"/>
  <c r="AX139" i="1"/>
  <c r="AW140" i="1"/>
  <c r="AX140" i="1"/>
  <c r="AW141" i="1"/>
  <c r="AX141" i="1"/>
  <c r="AW142" i="1"/>
  <c r="AX142" i="1"/>
  <c r="AW143" i="1"/>
  <c r="AX143" i="1"/>
  <c r="AW144" i="1"/>
  <c r="AX144" i="1"/>
  <c r="AX135" i="1"/>
  <c r="AW135" i="1"/>
  <c r="AX134" i="1"/>
  <c r="AW134" i="1"/>
  <c r="AX133" i="1"/>
  <c r="AW133" i="1"/>
  <c r="AX132" i="1"/>
  <c r="AW132" i="1"/>
  <c r="AX131" i="1"/>
  <c r="AW131" i="1"/>
  <c r="AX130" i="1"/>
  <c r="AW130" i="1"/>
  <c r="AW125" i="1"/>
  <c r="AX125" i="1"/>
  <c r="AS102" i="1"/>
  <c r="BD325" i="1" l="1"/>
  <c r="BE325" i="1"/>
  <c r="BD326" i="1"/>
  <c r="BE326" i="1"/>
  <c r="BD327" i="1"/>
  <c r="BE327" i="1"/>
  <c r="BD328" i="1"/>
  <c r="BE328" i="1"/>
  <c r="BD329" i="1"/>
  <c r="BE329" i="1"/>
  <c r="BD330" i="1"/>
  <c r="BE330" i="1"/>
  <c r="BD331" i="1"/>
  <c r="BE331" i="1"/>
  <c r="BD332" i="1"/>
  <c r="BE332" i="1"/>
  <c r="BD333" i="1"/>
  <c r="BE333" i="1"/>
  <c r="BD334" i="1"/>
  <c r="BE334" i="1"/>
  <c r="BD335" i="1"/>
  <c r="BE335" i="1"/>
  <c r="BD336" i="1"/>
  <c r="BE336" i="1"/>
  <c r="BD337" i="1"/>
  <c r="BE337" i="1"/>
  <c r="BD338" i="1"/>
  <c r="BE338" i="1"/>
  <c r="BD339" i="1"/>
  <c r="BE339" i="1"/>
  <c r="BD340" i="1"/>
  <c r="BE340" i="1"/>
  <c r="BD341" i="1"/>
  <c r="BE341" i="1"/>
  <c r="BD342" i="1"/>
  <c r="BE342" i="1"/>
  <c r="BD343" i="1"/>
  <c r="BE343" i="1"/>
  <c r="BD344" i="1"/>
  <c r="BE344" i="1"/>
  <c r="BD345" i="1"/>
  <c r="BE345" i="1"/>
  <c r="BD346" i="1"/>
  <c r="BE346" i="1"/>
  <c r="BD347" i="1"/>
  <c r="BE347" i="1"/>
  <c r="BD348" i="1"/>
  <c r="BE348" i="1"/>
  <c r="BD349" i="1"/>
  <c r="BE349" i="1"/>
  <c r="BD350" i="1"/>
  <c r="BE350" i="1"/>
  <c r="BD324" i="1" l="1"/>
  <c r="BE324" i="1"/>
  <c r="BD323" i="1"/>
  <c r="BE323" i="1"/>
  <c r="BD322" i="1" l="1"/>
  <c r="BE322" i="1"/>
  <c r="BD317" i="1"/>
  <c r="BE317" i="1"/>
  <c r="BD318" i="1"/>
  <c r="BE318" i="1"/>
  <c r="BD319" i="1"/>
  <c r="BE319" i="1"/>
  <c r="BD320" i="1"/>
  <c r="BE320" i="1"/>
  <c r="BD321" i="1"/>
  <c r="BE321" i="1"/>
  <c r="BD316" i="1" l="1"/>
  <c r="BE316" i="1"/>
  <c r="BE315" i="1"/>
  <c r="BD315" i="1"/>
  <c r="BE314" i="1"/>
  <c r="BD314" i="1"/>
  <c r="BD310" i="1"/>
  <c r="BE310" i="1"/>
  <c r="BD311" i="1"/>
  <c r="BE311" i="1"/>
  <c r="BD312" i="1"/>
  <c r="BE312" i="1"/>
  <c r="BD313" i="1"/>
  <c r="BE313" i="1"/>
  <c r="BE309" i="1"/>
  <c r="BD309" i="1"/>
  <c r="BE308" i="1"/>
  <c r="BD308" i="1"/>
  <c r="BE307" i="1"/>
  <c r="BD307" i="1"/>
  <c r="BD306" i="1"/>
  <c r="BE306" i="1"/>
  <c r="BD305" i="1" l="1"/>
  <c r="BE305" i="1"/>
  <c r="BD304" i="1"/>
  <c r="BE304" i="1"/>
  <c r="BE303" i="1"/>
  <c r="BD303" i="1"/>
  <c r="BE302" i="1"/>
  <c r="BD302" i="1"/>
  <c r="BD301" i="1"/>
  <c r="BE301" i="1"/>
  <c r="BD300" i="1"/>
  <c r="BE300" i="1"/>
  <c r="BD299" i="1" l="1"/>
  <c r="BE299" i="1"/>
  <c r="AS299" i="1"/>
  <c r="BD298" i="1"/>
  <c r="BE298" i="1"/>
  <c r="BD297" i="1"/>
  <c r="BE297" i="1"/>
  <c r="BE296" i="1"/>
  <c r="BD296" i="1"/>
  <c r="BD295" i="1"/>
  <c r="BE295" i="1"/>
  <c r="BE294" i="1"/>
  <c r="BD294" i="1"/>
  <c r="BE293" i="1"/>
  <c r="BD293" i="1"/>
  <c r="BE292" i="1"/>
  <c r="BD292" i="1"/>
  <c r="BE291" i="1"/>
  <c r="BD291" i="1"/>
  <c r="BD290" i="1"/>
  <c r="BE290" i="1"/>
  <c r="BD289" i="1"/>
  <c r="BE289" i="1"/>
  <c r="I11" i="5" l="1"/>
  <c r="I12" i="5"/>
  <c r="I13" i="5"/>
  <c r="I14" i="5"/>
  <c r="I10" i="5"/>
  <c r="Q44" i="1"/>
  <c r="Q41" i="1"/>
  <c r="R40" i="1"/>
  <c r="Q40" i="1"/>
  <c r="R39" i="1"/>
  <c r="Q39" i="1"/>
  <c r="Q33" i="1"/>
  <c r="Q32" i="1"/>
  <c r="F2" i="5"/>
  <c r="G3" i="5" s="1"/>
  <c r="AS2" i="1" l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44" i="1"/>
  <c r="AS45" i="1"/>
  <c r="AS46" i="1"/>
  <c r="AS47" i="1"/>
  <c r="AS48" i="1"/>
  <c r="AS49" i="1"/>
  <c r="AS50" i="1"/>
  <c r="AS51" i="1"/>
  <c r="AS97" i="1"/>
  <c r="AS98" i="1"/>
  <c r="AS99" i="1"/>
  <c r="AS100" i="1"/>
  <c r="AS101" i="1"/>
  <c r="AS116" i="1"/>
  <c r="AS117" i="1"/>
  <c r="AS118" i="1"/>
  <c r="AS119" i="1"/>
  <c r="AS120" i="1"/>
  <c r="AS121" i="1"/>
  <c r="AS122" i="1"/>
  <c r="AS123" i="1"/>
  <c r="AS124" i="1"/>
  <c r="AS126" i="1"/>
  <c r="AS127" i="1"/>
  <c r="AS128" i="1"/>
  <c r="AS129" i="1"/>
  <c r="AS174" i="1"/>
  <c r="AS235" i="1"/>
  <c r="AS242" i="1"/>
  <c r="AW266" i="1"/>
  <c r="AX266" i="1"/>
  <c r="AT266" i="1"/>
  <c r="AU266" i="1" s="1"/>
  <c r="AT235" i="1"/>
  <c r="AU235" i="1" s="1"/>
  <c r="AT238" i="1"/>
  <c r="AU238" i="1" s="1"/>
  <c r="AT208" i="1"/>
  <c r="AU208" i="1" s="1"/>
  <c r="AT188" i="1"/>
  <c r="AU188" i="1" s="1"/>
  <c r="AT156" i="1"/>
  <c r="AU156" i="1" s="1"/>
  <c r="AT141" i="1"/>
  <c r="AU141" i="1" s="1"/>
  <c r="AT136" i="1" l="1"/>
  <c r="AU136" i="1" s="1"/>
  <c r="AT135" i="1"/>
  <c r="AU135" i="1" s="1"/>
  <c r="AT134" i="1" l="1"/>
  <c r="AU134" i="1" s="1"/>
  <c r="AT130" i="1"/>
  <c r="AU130" i="1" s="1"/>
  <c r="AT129" i="1"/>
  <c r="AU129" i="1" s="1"/>
  <c r="AT128" i="1"/>
  <c r="AU128" i="1" s="1"/>
  <c r="AT127" i="1"/>
  <c r="AU127" i="1" s="1"/>
  <c r="AT126" i="1"/>
  <c r="AU126" i="1" s="1"/>
  <c r="AT125" i="1"/>
  <c r="AU125" i="1" s="1"/>
  <c r="AT124" i="1"/>
  <c r="AU124" i="1" s="1"/>
  <c r="AT123" i="1"/>
  <c r="AU123" i="1" s="1"/>
  <c r="AT116" i="1"/>
  <c r="AU116" i="1" s="1"/>
  <c r="AT108" i="1"/>
  <c r="AU108" i="1" s="1"/>
  <c r="AT109" i="1"/>
  <c r="AU109" i="1" s="1"/>
  <c r="AT103" i="1"/>
  <c r="AU103" i="1" s="1"/>
  <c r="AT101" i="1"/>
  <c r="AU101" i="1" s="1"/>
  <c r="AT102" i="1"/>
  <c r="AU102" i="1" s="1"/>
  <c r="AT100" i="1"/>
  <c r="AU100" i="1" s="1"/>
  <c r="AT97" i="1"/>
  <c r="AU97" i="1" s="1"/>
  <c r="AT95" i="1"/>
  <c r="AU95" i="1" s="1"/>
  <c r="AT96" i="1"/>
  <c r="AU96" i="1" s="1"/>
  <c r="AT94" i="1"/>
  <c r="AU94" i="1" s="1"/>
  <c r="AT51" i="1"/>
  <c r="AU51" i="1" s="1"/>
  <c r="AT50" i="1"/>
  <c r="AU50" i="1" s="1"/>
  <c r="AT49" i="1"/>
  <c r="AU49" i="1" s="1"/>
  <c r="AT48" i="1"/>
  <c r="AU48" i="1" s="1"/>
  <c r="AT47" i="1"/>
  <c r="AU47" i="1" s="1"/>
  <c r="AT46" i="1"/>
  <c r="AU46" i="1" s="1"/>
  <c r="AT28" i="1" l="1"/>
  <c r="AU28" i="1" s="1"/>
  <c r="AT27" i="1"/>
  <c r="AU27" i="1" s="1"/>
  <c r="AT26" i="1"/>
  <c r="AU26" i="1" s="1"/>
  <c r="AT25" i="1"/>
  <c r="AU25" i="1" s="1"/>
  <c r="AT24" i="1"/>
  <c r="AU24" i="1" s="1"/>
  <c r="AT23" i="1"/>
  <c r="AU23" i="1" s="1"/>
  <c r="AT22" i="1"/>
  <c r="AU22" i="1" s="1"/>
  <c r="AT21" i="1"/>
  <c r="AU21" i="1" s="1"/>
  <c r="AT20" i="1"/>
  <c r="AU20" i="1" s="1"/>
  <c r="AT19" i="1"/>
  <c r="AU19" i="1" s="1"/>
  <c r="AT18" i="1"/>
  <c r="AU18" i="1" s="1"/>
  <c r="AT17" i="1"/>
  <c r="AU17" i="1" s="1"/>
  <c r="AT16" i="1"/>
  <c r="AU16" i="1" s="1"/>
  <c r="AT15" i="1"/>
  <c r="AU15" i="1" s="1"/>
  <c r="AT14" i="1"/>
  <c r="AU14" i="1" s="1"/>
  <c r="AT13" i="1"/>
  <c r="AU13" i="1" s="1"/>
  <c r="AT12" i="1"/>
  <c r="AU12" i="1" s="1"/>
  <c r="AT11" i="1"/>
  <c r="AU11" i="1" s="1"/>
  <c r="AT10" i="1"/>
  <c r="AU10" i="1" s="1"/>
  <c r="AT9" i="1"/>
  <c r="AU9" i="1" s="1"/>
  <c r="C10" i="2"/>
  <c r="BE288" i="1" l="1"/>
  <c r="BD288" i="1"/>
  <c r="AX288" i="1"/>
  <c r="AW288" i="1"/>
  <c r="BD287" i="1"/>
  <c r="BE287" i="1"/>
  <c r="AX287" i="1"/>
  <c r="AW287" i="1"/>
  <c r="BE286" i="1"/>
  <c r="BD286" i="1"/>
  <c r="AX286" i="1"/>
  <c r="AW286" i="1"/>
  <c r="BE285" i="1"/>
  <c r="BD285" i="1"/>
  <c r="AX285" i="1"/>
  <c r="AW285" i="1"/>
  <c r="BE284" i="1"/>
  <c r="BD284" i="1"/>
  <c r="AX284" i="1"/>
  <c r="AW284" i="1"/>
  <c r="BE283" i="1"/>
  <c r="BD283" i="1"/>
  <c r="AX283" i="1"/>
  <c r="AW283" i="1"/>
  <c r="BE282" i="1"/>
  <c r="BD282" i="1"/>
  <c r="AX282" i="1"/>
  <c r="AW282" i="1"/>
  <c r="BE281" i="1"/>
  <c r="BD281" i="1"/>
  <c r="AX281" i="1"/>
  <c r="AW281" i="1"/>
  <c r="BE280" i="1"/>
  <c r="BD280" i="1"/>
  <c r="AX280" i="1"/>
  <c r="AW280" i="1"/>
  <c r="BE279" i="1"/>
  <c r="BD279" i="1"/>
  <c r="AX279" i="1"/>
  <c r="AW279" i="1"/>
  <c r="BE278" i="1"/>
  <c r="BD278" i="1"/>
  <c r="AX278" i="1"/>
  <c r="AW278" i="1"/>
  <c r="AW277" i="1"/>
  <c r="AX277" i="1"/>
  <c r="BD277" i="1"/>
  <c r="BE277" i="1"/>
  <c r="BD276" i="1"/>
  <c r="BE276" i="1"/>
  <c r="AW270" i="1"/>
  <c r="AX270" i="1"/>
  <c r="AW271" i="1"/>
  <c r="AX271" i="1"/>
  <c r="AW272" i="1"/>
  <c r="AX272" i="1"/>
  <c r="AW273" i="1"/>
  <c r="AX273" i="1"/>
  <c r="AW274" i="1"/>
  <c r="AX274" i="1"/>
  <c r="AW275" i="1"/>
  <c r="AX275" i="1"/>
  <c r="AW276" i="1"/>
  <c r="AX276" i="1"/>
  <c r="AX269" i="1"/>
  <c r="AW269" i="1"/>
  <c r="BD271" i="1"/>
  <c r="BE271" i="1"/>
  <c r="BD272" i="1"/>
  <c r="BE272" i="1"/>
  <c r="BD273" i="1"/>
  <c r="BE273" i="1"/>
  <c r="BD274" i="1"/>
  <c r="BE274" i="1"/>
  <c r="BD275" i="1"/>
  <c r="BE275" i="1"/>
  <c r="BD270" i="1"/>
  <c r="BE270" i="1"/>
  <c r="BD269" i="1"/>
  <c r="BE269" i="1"/>
  <c r="BE268" i="1" l="1"/>
  <c r="BD268" i="1"/>
  <c r="BD267" i="1"/>
  <c r="BE267" i="1"/>
  <c r="BD266" i="1" l="1"/>
  <c r="BE266" i="1"/>
  <c r="C2" i="4" l="1"/>
  <c r="C3" i="4"/>
  <c r="C4" i="4"/>
  <c r="C5" i="4"/>
  <c r="C6" i="4"/>
  <c r="C7" i="4"/>
  <c r="C8" i="4"/>
  <c r="C9" i="4"/>
  <c r="C13" i="2"/>
  <c r="C1" i="4"/>
  <c r="BD2" i="1" l="1"/>
  <c r="BD3" i="1"/>
  <c r="BD4" i="1"/>
  <c r="BD5" i="1"/>
  <c r="BD6" i="1"/>
  <c r="BD7" i="1"/>
  <c r="BD8" i="1"/>
  <c r="BD9" i="1"/>
  <c r="BD10" i="1"/>
  <c r="BD11" i="1"/>
  <c r="BD12" i="1"/>
  <c r="BD13" i="1"/>
  <c r="BD14" i="1"/>
  <c r="BD188" i="1" l="1"/>
  <c r="BE188" i="1"/>
  <c r="BD189" i="1"/>
  <c r="BE189" i="1"/>
  <c r="BD190" i="1"/>
  <c r="BE190" i="1"/>
  <c r="BD191" i="1"/>
  <c r="BE191" i="1"/>
  <c r="BD192" i="1"/>
  <c r="BE192" i="1"/>
  <c r="BD193" i="1"/>
  <c r="BE193" i="1"/>
  <c r="BD194" i="1"/>
  <c r="BE194" i="1"/>
  <c r="BD195" i="1"/>
  <c r="BE195" i="1"/>
  <c r="BD196" i="1"/>
  <c r="BE196" i="1"/>
  <c r="BD197" i="1"/>
  <c r="BE197" i="1"/>
  <c r="BD199" i="1"/>
  <c r="BE199" i="1"/>
  <c r="BD200" i="1"/>
  <c r="BE200" i="1"/>
  <c r="BD201" i="1"/>
  <c r="BE201" i="1"/>
  <c r="BD202" i="1"/>
  <c r="BE202" i="1"/>
  <c r="BD203" i="1"/>
  <c r="BE203" i="1"/>
  <c r="BD204" i="1"/>
  <c r="BE204" i="1"/>
  <c r="BD205" i="1"/>
  <c r="BE205" i="1"/>
  <c r="BD206" i="1"/>
  <c r="BE206" i="1"/>
  <c r="BD207" i="1"/>
  <c r="BE207" i="1"/>
  <c r="BD208" i="1"/>
  <c r="BE208" i="1"/>
  <c r="BD209" i="1"/>
  <c r="BE209" i="1"/>
  <c r="BD210" i="1"/>
  <c r="BE210" i="1"/>
  <c r="BD211" i="1"/>
  <c r="BE211" i="1"/>
  <c r="BD212" i="1"/>
  <c r="BE212" i="1"/>
  <c r="BD213" i="1"/>
  <c r="BE213" i="1"/>
  <c r="BD214" i="1"/>
  <c r="BE214" i="1"/>
  <c r="BD215" i="1"/>
  <c r="BE215" i="1"/>
  <c r="BD216" i="1"/>
  <c r="BE216" i="1"/>
  <c r="BD217" i="1"/>
  <c r="BE217" i="1"/>
  <c r="BD218" i="1"/>
  <c r="BE218" i="1"/>
  <c r="BD219" i="1"/>
  <c r="BE219" i="1"/>
  <c r="BD220" i="1"/>
  <c r="BE220" i="1"/>
  <c r="BD221" i="1"/>
  <c r="BE221" i="1"/>
  <c r="BD222" i="1"/>
  <c r="BE222" i="1"/>
  <c r="BD223" i="1"/>
  <c r="BE223" i="1"/>
  <c r="BD224" i="1"/>
  <c r="BE224" i="1"/>
  <c r="BD225" i="1"/>
  <c r="BE225" i="1"/>
  <c r="BD226" i="1"/>
  <c r="BE226" i="1"/>
  <c r="BD227" i="1"/>
  <c r="BE227" i="1"/>
  <c r="BD228" i="1"/>
  <c r="BE228" i="1"/>
  <c r="BD229" i="1"/>
  <c r="BE229" i="1"/>
  <c r="BD230" i="1"/>
  <c r="BE230" i="1"/>
  <c r="BD231" i="1"/>
  <c r="BE231" i="1"/>
  <c r="BD232" i="1"/>
  <c r="BE232" i="1"/>
  <c r="BD233" i="1"/>
  <c r="BE233" i="1"/>
  <c r="BD234" i="1"/>
  <c r="BE234" i="1"/>
  <c r="BD235" i="1"/>
  <c r="BE235" i="1"/>
  <c r="BD236" i="1"/>
  <c r="BE236" i="1"/>
  <c r="BD237" i="1"/>
  <c r="BE237" i="1"/>
  <c r="BD238" i="1"/>
  <c r="BE238" i="1"/>
  <c r="BD239" i="1"/>
  <c r="BE239" i="1"/>
  <c r="BD240" i="1"/>
  <c r="BE240" i="1"/>
  <c r="BD241" i="1"/>
  <c r="BE241" i="1"/>
  <c r="BD242" i="1"/>
  <c r="BE242" i="1"/>
  <c r="BD243" i="1"/>
  <c r="BE243" i="1"/>
  <c r="BD244" i="1"/>
  <c r="BE244" i="1"/>
  <c r="BD245" i="1"/>
  <c r="BE245" i="1"/>
  <c r="BD246" i="1"/>
  <c r="BE246" i="1"/>
  <c r="BD247" i="1"/>
  <c r="BE247" i="1"/>
  <c r="BD248" i="1"/>
  <c r="BE248" i="1"/>
  <c r="BD249" i="1"/>
  <c r="BE249" i="1"/>
  <c r="BD250" i="1"/>
  <c r="BE250" i="1"/>
  <c r="BD251" i="1"/>
  <c r="BE251" i="1"/>
  <c r="BD252" i="1"/>
  <c r="BE252" i="1"/>
  <c r="BD253" i="1"/>
  <c r="BE253" i="1"/>
  <c r="BD254" i="1"/>
  <c r="BE254" i="1"/>
  <c r="BD255" i="1"/>
  <c r="BE255" i="1"/>
  <c r="BD256" i="1"/>
  <c r="BE256" i="1"/>
  <c r="BD257" i="1"/>
  <c r="BE257" i="1"/>
  <c r="BD258" i="1"/>
  <c r="BE258" i="1"/>
  <c r="BD259" i="1"/>
  <c r="BE259" i="1"/>
  <c r="BD260" i="1"/>
  <c r="BE260" i="1"/>
  <c r="BD261" i="1"/>
  <c r="BE261" i="1"/>
  <c r="BD262" i="1"/>
  <c r="BE262" i="1"/>
  <c r="BD263" i="1"/>
  <c r="BE263" i="1"/>
  <c r="BD264" i="1"/>
  <c r="BE264" i="1"/>
  <c r="BD265" i="1"/>
  <c r="BE265" i="1"/>
  <c r="BD15" i="1"/>
  <c r="BE15" i="1"/>
  <c r="BD16" i="1"/>
  <c r="BE16" i="1"/>
  <c r="BD17" i="1"/>
  <c r="BE17" i="1"/>
  <c r="BD18" i="1"/>
  <c r="BE18" i="1"/>
  <c r="BD19" i="1"/>
  <c r="BE19" i="1"/>
  <c r="BD20" i="1"/>
  <c r="BE20" i="1"/>
  <c r="BD21" i="1"/>
  <c r="BE21" i="1"/>
  <c r="BD22" i="1"/>
  <c r="BE22" i="1"/>
  <c r="BD23" i="1"/>
  <c r="BE23" i="1"/>
  <c r="BD24" i="1"/>
  <c r="BE24" i="1"/>
  <c r="BD25" i="1"/>
  <c r="BE25" i="1"/>
  <c r="BD26" i="1"/>
  <c r="BE26" i="1"/>
  <c r="BD27" i="1"/>
  <c r="BE27" i="1"/>
  <c r="BD28" i="1"/>
  <c r="BE28" i="1"/>
  <c r="BD29" i="1"/>
  <c r="BE29" i="1"/>
  <c r="BD30" i="1"/>
  <c r="BE30" i="1"/>
  <c r="BD31" i="1"/>
  <c r="BE31" i="1"/>
  <c r="BD32" i="1"/>
  <c r="BE32" i="1"/>
  <c r="BD33" i="1"/>
  <c r="BE33" i="1"/>
  <c r="BE34" i="1"/>
  <c r="BD35" i="1"/>
  <c r="BE35" i="1"/>
  <c r="BD36" i="1"/>
  <c r="BE36" i="1"/>
  <c r="BE37" i="1"/>
  <c r="BE38" i="1"/>
  <c r="BD39" i="1"/>
  <c r="BE39" i="1"/>
  <c r="BD40" i="1"/>
  <c r="BE40" i="1"/>
  <c r="BD41" i="1"/>
  <c r="BE41" i="1"/>
  <c r="BD42" i="1"/>
  <c r="BE42" i="1"/>
  <c r="BD43" i="1"/>
  <c r="BE43" i="1"/>
  <c r="BD45" i="1"/>
  <c r="BE45" i="1"/>
  <c r="BD46" i="1"/>
  <c r="BE46" i="1"/>
  <c r="BD47" i="1"/>
  <c r="BE47" i="1"/>
  <c r="BD48" i="1"/>
  <c r="BE48" i="1"/>
  <c r="BD49" i="1"/>
  <c r="BE49" i="1"/>
  <c r="BD50" i="1"/>
  <c r="BE50" i="1"/>
  <c r="BD51" i="1"/>
  <c r="BE51" i="1"/>
  <c r="BD52" i="1"/>
  <c r="BE52" i="1"/>
  <c r="BD53" i="1"/>
  <c r="BE53" i="1"/>
  <c r="BD54" i="1"/>
  <c r="BE54" i="1"/>
  <c r="BD55" i="1"/>
  <c r="BE55" i="1"/>
  <c r="BD56" i="1"/>
  <c r="BE56" i="1"/>
  <c r="BD57" i="1"/>
  <c r="BE57" i="1"/>
  <c r="BD58" i="1"/>
  <c r="BE58" i="1"/>
  <c r="BD59" i="1"/>
  <c r="BE59" i="1"/>
  <c r="BD60" i="1"/>
  <c r="BE60" i="1"/>
  <c r="BD61" i="1"/>
  <c r="BE61" i="1"/>
  <c r="BD62" i="1"/>
  <c r="BE62" i="1"/>
  <c r="BD63" i="1"/>
  <c r="BE63" i="1"/>
  <c r="BD64" i="1"/>
  <c r="BE64" i="1"/>
  <c r="BD65" i="1"/>
  <c r="BE65" i="1"/>
  <c r="BD66" i="1"/>
  <c r="BE66" i="1"/>
  <c r="BD67" i="1"/>
  <c r="BE67" i="1"/>
  <c r="BD68" i="1"/>
  <c r="BE68" i="1"/>
  <c r="BD69" i="1"/>
  <c r="BE69" i="1"/>
  <c r="BD73" i="1"/>
  <c r="BE73" i="1"/>
  <c r="BD74" i="1"/>
  <c r="BE74" i="1"/>
  <c r="BD75" i="1"/>
  <c r="BE75" i="1"/>
  <c r="BD76" i="1"/>
  <c r="BE76" i="1"/>
  <c r="BD77" i="1"/>
  <c r="BE77" i="1"/>
  <c r="BD78" i="1"/>
  <c r="BE78" i="1"/>
  <c r="BD79" i="1"/>
  <c r="BE79" i="1"/>
  <c r="BD80" i="1"/>
  <c r="BE80" i="1"/>
  <c r="BD81" i="1"/>
  <c r="BE81" i="1"/>
  <c r="BD82" i="1"/>
  <c r="BE82" i="1"/>
  <c r="BD83" i="1"/>
  <c r="BE83" i="1"/>
  <c r="BD84" i="1"/>
  <c r="BE84" i="1"/>
  <c r="BD85" i="1"/>
  <c r="BE85" i="1"/>
  <c r="BD86" i="1"/>
  <c r="BE86" i="1"/>
  <c r="BD87" i="1"/>
  <c r="BE87" i="1"/>
  <c r="BD88" i="1"/>
  <c r="BE88" i="1"/>
  <c r="BD89" i="1"/>
  <c r="BE89" i="1"/>
  <c r="BD90" i="1"/>
  <c r="BE90" i="1"/>
  <c r="BD91" i="1"/>
  <c r="BE91" i="1"/>
  <c r="BD92" i="1"/>
  <c r="BE92" i="1"/>
  <c r="BD93" i="1"/>
  <c r="BE93" i="1"/>
  <c r="BD94" i="1"/>
  <c r="BE94" i="1"/>
  <c r="BD95" i="1"/>
  <c r="BE95" i="1"/>
  <c r="BD96" i="1"/>
  <c r="BE96" i="1"/>
  <c r="BD97" i="1"/>
  <c r="BE97" i="1"/>
  <c r="BD98" i="1"/>
  <c r="BE98" i="1"/>
  <c r="BD99" i="1"/>
  <c r="BE99" i="1"/>
  <c r="BD103" i="1"/>
  <c r="BE103" i="1"/>
  <c r="BD104" i="1"/>
  <c r="BE104" i="1"/>
  <c r="BD105" i="1"/>
  <c r="BE105" i="1"/>
  <c r="BD106" i="1"/>
  <c r="BE106" i="1"/>
  <c r="BD107" i="1"/>
  <c r="BE107" i="1"/>
  <c r="BD108" i="1"/>
  <c r="BE108" i="1"/>
  <c r="BD109" i="1"/>
  <c r="BE109" i="1"/>
  <c r="BD110" i="1"/>
  <c r="BE110" i="1"/>
  <c r="BD111" i="1"/>
  <c r="BE111" i="1"/>
  <c r="BD112" i="1"/>
  <c r="BE112" i="1"/>
  <c r="BD113" i="1"/>
  <c r="BE113" i="1"/>
  <c r="BD114" i="1"/>
  <c r="BE114" i="1"/>
  <c r="BD115" i="1"/>
  <c r="BE115" i="1"/>
  <c r="BD116" i="1"/>
  <c r="BE116" i="1"/>
  <c r="BD117" i="1"/>
  <c r="BE117" i="1"/>
  <c r="BD118" i="1"/>
  <c r="BE118" i="1"/>
  <c r="BD119" i="1"/>
  <c r="BE119" i="1"/>
  <c r="BD120" i="1"/>
  <c r="BE120" i="1"/>
  <c r="BD121" i="1"/>
  <c r="BE121" i="1"/>
  <c r="BD122" i="1"/>
  <c r="BD123" i="1"/>
  <c r="BE123" i="1"/>
  <c r="BD124" i="1"/>
  <c r="BE124" i="1"/>
  <c r="BD125" i="1"/>
  <c r="BE125" i="1"/>
  <c r="BD126" i="1"/>
  <c r="BE126" i="1"/>
  <c r="BD127" i="1"/>
  <c r="BE127" i="1"/>
  <c r="BD128" i="1"/>
  <c r="BE128" i="1"/>
  <c r="BD129" i="1"/>
  <c r="BE129" i="1"/>
  <c r="BD130" i="1"/>
  <c r="BE130" i="1"/>
  <c r="BD131" i="1"/>
  <c r="BE131" i="1"/>
  <c r="BD132" i="1"/>
  <c r="BE132" i="1"/>
  <c r="BD133" i="1"/>
  <c r="BE133" i="1"/>
  <c r="BD134" i="1"/>
  <c r="BE134" i="1"/>
  <c r="BD135" i="1"/>
  <c r="BE135" i="1"/>
  <c r="BD136" i="1"/>
  <c r="BE136" i="1"/>
  <c r="BD137" i="1"/>
  <c r="BE137" i="1"/>
  <c r="BD138" i="1"/>
  <c r="BE138" i="1"/>
  <c r="BD139" i="1"/>
  <c r="BE139" i="1"/>
  <c r="BD140" i="1"/>
  <c r="BE140" i="1"/>
  <c r="BD141" i="1"/>
  <c r="BE141" i="1"/>
  <c r="BD142" i="1"/>
  <c r="BE142" i="1"/>
  <c r="BD143" i="1"/>
  <c r="BE143" i="1"/>
  <c r="BD144" i="1"/>
  <c r="BE144" i="1"/>
  <c r="BD145" i="1"/>
  <c r="BE145" i="1"/>
  <c r="BD146" i="1"/>
  <c r="BE146" i="1"/>
  <c r="BD147" i="1"/>
  <c r="BE147" i="1"/>
  <c r="BD148" i="1"/>
  <c r="BE148" i="1"/>
  <c r="BD149" i="1"/>
  <c r="BE149" i="1"/>
  <c r="BD150" i="1"/>
  <c r="BE150" i="1"/>
  <c r="BD151" i="1"/>
  <c r="BE151" i="1"/>
  <c r="BD152" i="1"/>
  <c r="BE152" i="1"/>
  <c r="BD153" i="1"/>
  <c r="BE153" i="1"/>
  <c r="BD154" i="1"/>
  <c r="BE154" i="1"/>
  <c r="BD155" i="1"/>
  <c r="BE155" i="1"/>
  <c r="BD156" i="1"/>
  <c r="BE156" i="1"/>
  <c r="BD157" i="1"/>
  <c r="BE157" i="1"/>
  <c r="BD158" i="1"/>
  <c r="BE158" i="1"/>
  <c r="BD159" i="1"/>
  <c r="BE159" i="1"/>
  <c r="BD160" i="1"/>
  <c r="BE160" i="1"/>
  <c r="BD161" i="1"/>
  <c r="BE161" i="1"/>
  <c r="BD162" i="1"/>
  <c r="BE162" i="1"/>
  <c r="BD163" i="1"/>
  <c r="BE163" i="1"/>
  <c r="BD164" i="1"/>
  <c r="BE164" i="1"/>
  <c r="BD165" i="1"/>
  <c r="BE165" i="1"/>
  <c r="BD166" i="1"/>
  <c r="BE166" i="1"/>
  <c r="BD167" i="1"/>
  <c r="BE167" i="1"/>
  <c r="BD168" i="1"/>
  <c r="BE168" i="1"/>
  <c r="BD169" i="1"/>
  <c r="BE169" i="1"/>
  <c r="BD170" i="1"/>
  <c r="BE170" i="1"/>
  <c r="BD171" i="1"/>
  <c r="BE171" i="1"/>
  <c r="BD172" i="1"/>
  <c r="BE172" i="1"/>
  <c r="BD173" i="1"/>
  <c r="BE173" i="1"/>
  <c r="BD174" i="1"/>
  <c r="BE174" i="1"/>
  <c r="BD175" i="1"/>
  <c r="BE175" i="1"/>
  <c r="BD176" i="1"/>
  <c r="BE176" i="1"/>
  <c r="BD180" i="1"/>
  <c r="BE180" i="1"/>
  <c r="BD181" i="1"/>
  <c r="BE181" i="1"/>
  <c r="BD182" i="1"/>
  <c r="BE182" i="1"/>
  <c r="BD183" i="1"/>
  <c r="BE183" i="1"/>
  <c r="BD184" i="1"/>
  <c r="BE184" i="1"/>
  <c r="BD185" i="1"/>
  <c r="BE185" i="1"/>
  <c r="BD187" i="1"/>
  <c r="BE187" i="1"/>
  <c r="AW265" i="1" l="1"/>
  <c r="AX265" i="1"/>
  <c r="AW264" i="1"/>
  <c r="AX264" i="1"/>
  <c r="AW263" i="1"/>
  <c r="AX263" i="1"/>
  <c r="AW262" i="1"/>
  <c r="AX262" i="1"/>
  <c r="AW259" i="1"/>
  <c r="AX259" i="1"/>
  <c r="AW260" i="1"/>
  <c r="AX260" i="1"/>
  <c r="AW261" i="1"/>
  <c r="AX261" i="1"/>
  <c r="AW258" i="1"/>
  <c r="AX258" i="1"/>
  <c r="AX257" i="1" l="1"/>
  <c r="AW257" i="1"/>
  <c r="AW256" i="1"/>
  <c r="AX256" i="1"/>
  <c r="AX255" i="1"/>
  <c r="AW255" i="1"/>
  <c r="AX254" i="1"/>
  <c r="AW254" i="1"/>
  <c r="AW253" i="1"/>
  <c r="AX253" i="1"/>
  <c r="AX252" i="1" l="1"/>
  <c r="AW252" i="1"/>
  <c r="AX251" i="1"/>
  <c r="AW251" i="1"/>
  <c r="AX250" i="1"/>
  <c r="AW250" i="1"/>
  <c r="AX249" i="1"/>
  <c r="AW249" i="1"/>
  <c r="AX248" i="1"/>
  <c r="AW248" i="1"/>
  <c r="AX247" i="1"/>
  <c r="AW247" i="1"/>
  <c r="AX246" i="1"/>
  <c r="AW246" i="1"/>
  <c r="AX245" i="1"/>
  <c r="AW245" i="1"/>
  <c r="AW234" i="1" l="1"/>
  <c r="AX234" i="1"/>
  <c r="AX233" i="1" l="1"/>
  <c r="AW233" i="1"/>
  <c r="AW232" i="1"/>
  <c r="AX231" i="1"/>
  <c r="AW231" i="1"/>
  <c r="AX232" i="1"/>
  <c r="AX230" i="1" l="1"/>
  <c r="AW230" i="1"/>
  <c r="AX187" i="1" l="1"/>
  <c r="AW187" i="1"/>
  <c r="AS81" i="1" l="1"/>
  <c r="AR81" i="1"/>
  <c r="AS80" i="1" l="1"/>
  <c r="AS79" i="1"/>
  <c r="AR80" i="1"/>
  <c r="AR79" i="1"/>
  <c r="BG30" i="1"/>
  <c r="BG29" i="1"/>
  <c r="AW35" i="1" l="1"/>
  <c r="AW36" i="1"/>
  <c r="AW37" i="1"/>
  <c r="AW38" i="1"/>
  <c r="AW39" i="1"/>
  <c r="AW40" i="1"/>
  <c r="AW41" i="1"/>
  <c r="AW34" i="1"/>
  <c r="AX42" i="1"/>
  <c r="AW42" i="1"/>
  <c r="AW43" i="1"/>
  <c r="AX43" i="1"/>
  <c r="AX41" i="1"/>
  <c r="AX40" i="1" l="1"/>
  <c r="AX39" i="1"/>
  <c r="AX38" i="1" l="1"/>
  <c r="AX37" i="1"/>
  <c r="AX36" i="1" l="1"/>
  <c r="AX35" i="1"/>
  <c r="AX34" i="1"/>
  <c r="B5" i="2"/>
  <c r="B4" i="2"/>
  <c r="AX33" i="1" l="1"/>
  <c r="AX32" i="1"/>
  <c r="AW30" i="1"/>
  <c r="AW31" i="1"/>
  <c r="AW32" i="1"/>
  <c r="AW33" i="1"/>
  <c r="AW29" i="1"/>
  <c r="AX30" i="1"/>
  <c r="AX29" i="1"/>
  <c r="BE14" i="1" l="1"/>
</calcChain>
</file>

<file path=xl/sharedStrings.xml><?xml version="1.0" encoding="utf-8"?>
<sst xmlns="http://schemas.openxmlformats.org/spreadsheetml/2006/main" count="4141" uniqueCount="833">
  <si>
    <t>temperature of operation</t>
  </si>
  <si>
    <t>cathode material</t>
  </si>
  <si>
    <t>anode material</t>
  </si>
  <si>
    <t>electrolyte material</t>
  </si>
  <si>
    <t>LiCoO2</t>
  </si>
  <si>
    <t>LiMn2O4</t>
  </si>
  <si>
    <t>C color</t>
  </si>
  <si>
    <t>A color</t>
  </si>
  <si>
    <t>E color</t>
  </si>
  <si>
    <t>primary or secondary</t>
  </si>
  <si>
    <t>LiNi1/3Mn1/3Co1/3O2</t>
  </si>
  <si>
    <t>liNiO2</t>
  </si>
  <si>
    <t>Coke</t>
  </si>
  <si>
    <t>Author</t>
  </si>
  <si>
    <t>URL of publication</t>
  </si>
  <si>
    <t>Li</t>
  </si>
  <si>
    <t>Voltage range</t>
  </si>
  <si>
    <t>XRD(T)</t>
  </si>
  <si>
    <t>coin cells (CR 2016)</t>
  </si>
  <si>
    <t>Battery cell</t>
  </si>
  <si>
    <t>Lattice Parameter of cathode</t>
  </si>
  <si>
    <t>Space group of cathode</t>
  </si>
  <si>
    <r>
      <t>Fm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3m (225), JCPDS card No.04–0783 (at 350-400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 &amp; P21/m (11), JCPDS card No. 72-1193 (at 450-500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</si>
  <si>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s</t>
  </si>
  <si>
    <t>Capacity Retention after 50 Cycles</t>
  </si>
  <si>
    <t>Specific Discharge Capacity at 50 Cycle(mAh g-1)</t>
  </si>
  <si>
    <t>Capacity Retention after 1 Cycles</t>
  </si>
  <si>
    <t>LiPF6 in EC/DMC (1:1 v/v)</t>
  </si>
  <si>
    <t>8.217 Å</t>
  </si>
  <si>
    <t>Fd3m</t>
  </si>
  <si>
    <t>capacity loss per cycle</t>
  </si>
  <si>
    <t>2325 coin cell</t>
  </si>
  <si>
    <t>Celgard 2502 membrane</t>
  </si>
  <si>
    <t>Seprator</t>
  </si>
  <si>
    <t>?</t>
  </si>
  <si>
    <r>
      <t xml:space="preserve">a = 2.8504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0.0002 Å; c = 14.2041±  0.0011 Å</t>
    </r>
  </si>
  <si>
    <t>350-400</t>
  </si>
  <si>
    <r>
      <t>R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3m,166</t>
    </r>
  </si>
  <si>
    <r>
      <t xml:space="preserve">a = 2.87009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0.00013 Å; c = 14.2632 ± 0.0009</t>
    </r>
  </si>
  <si>
    <t>C</t>
  </si>
  <si>
    <t>R-3m,166</t>
  </si>
  <si>
    <t>a = 2.87009 ± 0.00013 Å; c = 14.2632 ± 0.0009</t>
  </si>
  <si>
    <t>NR</t>
  </si>
  <si>
    <t>1225 coin</t>
  </si>
  <si>
    <t xml:space="preserve">Celanese No. 2502 microporous films ornonwoven polypropylene
</t>
  </si>
  <si>
    <t>Synthesis route</t>
  </si>
  <si>
    <t>http://dx.doi.org/10.1016/j.jallcom.2013.08.124</t>
  </si>
  <si>
    <t xml:space="preserve"> Liang2014JAC </t>
  </si>
  <si>
    <t>LiV3O8/Ag</t>
  </si>
  <si>
    <r>
      <t>LiMn</t>
    </r>
    <r>
      <rPr>
        <sz val="11"/>
        <color theme="1"/>
        <rFont val="Calibri"/>
        <family val="2"/>
        <scheme val="minor"/>
      </rPr>
      <t>1.5Ni0.46Rh0.04O4</t>
    </r>
  </si>
  <si>
    <t>sol-gel</t>
  </si>
  <si>
    <t>http://dx.doi.org/155.97.234.93</t>
  </si>
  <si>
    <t>Co-precipitation</t>
  </si>
  <si>
    <t>http://dx.doi.org/10.1149/1.1413182</t>
  </si>
  <si>
    <t>http://dx.doi.org/10.1149/1.1505633</t>
  </si>
  <si>
    <t>1M LiPF6/EC:DEC (33%:67%)</t>
  </si>
  <si>
    <t>LiNi0.05Co0.9Mn0.05O2</t>
  </si>
  <si>
    <t>LiNi0.025Co0.95Mn0.025O2</t>
  </si>
  <si>
    <t>LiNi0.0125Co0.975Mn0.0125O2</t>
  </si>
  <si>
    <t>LiNi0.075Co0.85Mn0.075O2</t>
  </si>
  <si>
    <t>LiNi0.15Co0.7Mn0.15O2</t>
  </si>
  <si>
    <t>LiNi0.225Co0.55Mn0.225O2</t>
  </si>
  <si>
    <t>LiNi0.3Co0.4Mn0.3O2</t>
  </si>
  <si>
    <t>LiNi0.45Co0.1Mn0.45O2</t>
  </si>
  <si>
    <t>LiNi0.375Co0.25Mn0.375O2</t>
  </si>
  <si>
    <t>LiNi0.25Co0.5Mn0.25O2</t>
  </si>
  <si>
    <t>Specific Discharge Capacity at 25 Cycle(mAh g-1)</t>
  </si>
  <si>
    <t>solid-state</t>
  </si>
  <si>
    <t>Kang2009NTU</t>
  </si>
  <si>
    <t>http://dx.doi.org/10.1038</t>
  </si>
  <si>
    <t>Swagelok</t>
  </si>
  <si>
    <t>estimated theoretical capacity</t>
  </si>
  <si>
    <t>polyol</t>
  </si>
  <si>
    <t>Glass fiber disks</t>
  </si>
  <si>
    <t>Wang2009JPS</t>
  </si>
  <si>
    <t>1M LiPF6/EC:DMC (1:1)</t>
  </si>
  <si>
    <t>1M LiPF6/Pc:EC:DMC (1:1:3 v:v:v)</t>
  </si>
  <si>
    <r>
      <t>1MLiN(CF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:PC orEC/DMC (1:1 v/v)</t>
    </r>
  </si>
  <si>
    <t>http://dx.doi.org/10.1016/j.jpowsour.2008.09.077</t>
  </si>
  <si>
    <t>Li3V2P3O12</t>
  </si>
  <si>
    <t xml:space="preserve">Glass fiber </t>
  </si>
  <si>
    <t>F</t>
  </si>
  <si>
    <t>graphite</t>
  </si>
  <si>
    <t>1M LiPF6/EC:DMC (1:1 v:v)</t>
  </si>
  <si>
    <t>Saidi2003JPS</t>
  </si>
  <si>
    <t>http://dx.doi.org/10.1016/S0378-7753(03)00245-3</t>
  </si>
  <si>
    <t>graphit</t>
  </si>
  <si>
    <t>NA</t>
  </si>
  <si>
    <t>LiVPO4F</t>
  </si>
  <si>
    <t>1M LiClO4/EC:DMC (2:1 wt:wt)</t>
  </si>
  <si>
    <t>Barker2003JES</t>
  </si>
  <si>
    <t>http://dx.doi.org/10.1149/1.1609998</t>
  </si>
  <si>
    <t>LiMnPO4</t>
  </si>
  <si>
    <t>LiFePO4</t>
  </si>
  <si>
    <r>
      <t>LiFe0.9P0.95O4-</t>
    </r>
    <r>
      <rPr>
        <sz val="11"/>
        <color theme="1"/>
        <rFont val="Calibri"/>
        <family val="2"/>
      </rPr>
      <t>δ</t>
    </r>
  </si>
  <si>
    <t>LiFe0.9P0.95O4-δ</t>
  </si>
  <si>
    <t>1M LiPF6/EC:DMC (2:1 wt:wt)</t>
  </si>
  <si>
    <t>http://dx.doi.org/10.1149/2.004204jes</t>
  </si>
  <si>
    <t>Chang2012JES</t>
  </si>
  <si>
    <t>1M LiPF6/EC:DEC (1:1  v:v)</t>
  </si>
  <si>
    <t>LiFePO4/C</t>
  </si>
  <si>
    <t>Gover2006JSSI</t>
  </si>
  <si>
    <t>http://dx.doi.org/10.1016/j.ssi.2006.04.049</t>
  </si>
  <si>
    <t>Specific Discharge Capacity at 100 Cycle(mAh g-1)</t>
  </si>
  <si>
    <t>Na3V2P2O8F3</t>
  </si>
  <si>
    <t>Barker2006JESS</t>
  </si>
  <si>
    <t>http://dx.doi.org/10.1149/1.2168288</t>
  </si>
  <si>
    <t>carbothermal</t>
  </si>
  <si>
    <t>Na2FePO4F</t>
  </si>
  <si>
    <t>http://dx.doi.org/10.1038/nmat2007</t>
  </si>
  <si>
    <t>LiNi1/2Mn1/2O2</t>
  </si>
  <si>
    <t>Co-precipitation(mixed hydroxide)</t>
  </si>
  <si>
    <t>Celgard 2500</t>
  </si>
  <si>
    <t>1M LiPF6/EC:DMC (3:7)</t>
  </si>
  <si>
    <t>Makimura2003JPS</t>
  </si>
  <si>
    <t>http://dx.doi.org/10.1016/S0378-7753(03)00170-8</t>
  </si>
  <si>
    <t>Kim2004JES</t>
  </si>
  <si>
    <t>http://dx.doi.org/10.1149/1.1805524</t>
  </si>
  <si>
    <t>CR2032 coin cell</t>
  </si>
  <si>
    <t>LiNi0.5Mn1.5O4</t>
  </si>
  <si>
    <t>LiNi0.5Mn1.45Ti0.05O4</t>
  </si>
  <si>
    <t>LiNi0.5Mn1.4Ti0.1O4</t>
  </si>
  <si>
    <t>LiNi0.5Mn1.3Ti0.2O4</t>
  </si>
  <si>
    <t>LiNi0.5Mn1.2Ti0.3O4</t>
  </si>
  <si>
    <t>LiNi0.5Mn1Ti0.5O4</t>
  </si>
  <si>
    <t>LiNi0.5Mn0.5Ti1O4</t>
  </si>
  <si>
    <t>Choi2007JES</t>
  </si>
  <si>
    <t>Celgard polypropylene</t>
  </si>
  <si>
    <t>LiMn2O3.92F0.08</t>
  </si>
  <si>
    <t>LiMn1.9Ni0.1O4</t>
  </si>
  <si>
    <t>LiMn1.9Ni0.1O3.9F0.1</t>
  </si>
  <si>
    <t>LiMn1.9Li0.05Ni0.05O4</t>
  </si>
  <si>
    <t>LiMn1.9Li0.05Ni0.05O3.9F0.1</t>
  </si>
  <si>
    <t>LiMn1.8Li0.1Ni0.1O4</t>
  </si>
  <si>
    <t>LiMn1.8Li0.1Ni0.1O3.8F0.2</t>
  </si>
  <si>
    <t>LiMn1.8Li0.1Ni0.1O3.71F0.29</t>
  </si>
  <si>
    <t>Amatucci2001JES</t>
  </si>
  <si>
    <t>Carbon</t>
  </si>
  <si>
    <t>1M LiPF6/EC:DMC (2:1  v:v)</t>
  </si>
  <si>
    <t>Whatman GF/D borosilicate glass fiber</t>
  </si>
  <si>
    <t>http://dx.doi.org/10.1149/1.2746767</t>
  </si>
  <si>
    <t>http://dx.doi.org/10.1149/1.1342168</t>
  </si>
  <si>
    <t>Li1.1Mn1.9O4</t>
  </si>
  <si>
    <t>Li1.2Mn1.8O4</t>
  </si>
  <si>
    <t>Li1.05Mn1.95O4</t>
  </si>
  <si>
    <t>Li1.1Mn1.9O3.8F0.2</t>
  </si>
  <si>
    <t>LiAl0.2Mn1.8O3.8F0.2</t>
  </si>
  <si>
    <t>LiAl0.1Mn1.9O4</t>
  </si>
  <si>
    <t>LiAl0.2Mn1.8O4</t>
  </si>
  <si>
    <t>LiAl0.2Mn1.8O3.7F0.3</t>
  </si>
  <si>
    <t>LiAl0.2Mn1.8O3.5F0.5</t>
  </si>
  <si>
    <t>LiAl0.1Mn1.9O3.8F0.2</t>
  </si>
  <si>
    <t>LiAl0.1Mn1.9O3.7F0.3</t>
  </si>
  <si>
    <t>LiAl0.1Mn1.9O3.5F0.5</t>
  </si>
  <si>
    <t>Paulsen2000JES</t>
  </si>
  <si>
    <t>Celgard 2502</t>
  </si>
  <si>
    <t>solid-state+"Normal ion exchange"</t>
  </si>
  <si>
    <t>solid-state+"Na excess ion exchange"</t>
  </si>
  <si>
    <t>Li2/3Ni1/3Mn2/3O2</t>
  </si>
  <si>
    <t>Storey2001JPS</t>
  </si>
  <si>
    <t>spray drying</t>
  </si>
  <si>
    <t>1M LiPF6/EC:DMC (1:1  v:v)</t>
  </si>
  <si>
    <t>Shaju2004JES</t>
  </si>
  <si>
    <t>http://dx.doi.org/10.1149/1.1775218</t>
  </si>
  <si>
    <t>mixed hydroxide</t>
  </si>
  <si>
    <t>2016 coin cell</t>
  </si>
  <si>
    <t>electrode composition</t>
  </si>
  <si>
    <t>RT</t>
  </si>
  <si>
    <t xml:space="preserve">http://dx.doi.org/10.1149/1.1954927 </t>
  </si>
  <si>
    <t>Choi2005JES</t>
  </si>
  <si>
    <t>pouillerie2001JPS</t>
  </si>
  <si>
    <t>mode of discharge</t>
  </si>
  <si>
    <t>Al2O3-Coated o-LiMnO2</t>
  </si>
  <si>
    <t>Cho2002JES</t>
  </si>
  <si>
    <t>http://dx.doi.org/10.1149/1.1429927</t>
  </si>
  <si>
    <t>polyethylene microfilm</t>
  </si>
  <si>
    <t>1.3M LiPF6/EC/DMC/EMC(3/3/4 vol)</t>
  </si>
  <si>
    <r>
      <t>heat-treatments of 400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</si>
  <si>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t>172highest initial</t>
  </si>
  <si>
    <t>169highest initial</t>
  </si>
  <si>
    <r>
      <t>heat-treatments of 500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</si>
  <si>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>heat-treatments of 600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</si>
  <si>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>heat-treatments of 700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</si>
  <si>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t>C1 discharge(or initial highest)</t>
  </si>
  <si>
    <t>rating performance</t>
  </si>
  <si>
    <t>Ammundsen2002JES</t>
  </si>
  <si>
    <t>http://dx.doi.org/10.1149/1.1456535</t>
  </si>
  <si>
    <t>Li1.2Cr0.4Mn0.4O2</t>
  </si>
  <si>
    <t>glass fiber</t>
  </si>
  <si>
    <t>coin cell</t>
  </si>
  <si>
    <t>1M LiPF6/EC:DMC (1:1  w:w)</t>
  </si>
  <si>
    <t>132highest initial</t>
  </si>
  <si>
    <t>Zhang2002JEC</t>
  </si>
  <si>
    <t>Li1.05Cr0.37Ti0.42O2</t>
  </si>
  <si>
    <t>Celgard 3401</t>
  </si>
  <si>
    <r>
      <t>calcination of 700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</si>
  <si>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>calcination of 750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</si>
  <si>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>calcination of 800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</si>
  <si>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>calcination of 850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</si>
  <si>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>calcination of 900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</si>
  <si>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>calcination of 770-870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</si>
  <si>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t>solid-state maybe</t>
  </si>
  <si>
    <t>1M LiPF6/EC/DMC (1:2 v:v )</t>
  </si>
  <si>
    <t>Zhang2002JPS</t>
  </si>
  <si>
    <t>comment</t>
  </si>
  <si>
    <t>CCCV</t>
  </si>
  <si>
    <t>Active/C/PVDF 92:4:4</t>
  </si>
  <si>
    <t>Active/C/PVDF 80:12:8</t>
  </si>
  <si>
    <t>Active/PTFE/acetylene 71:19:10</t>
  </si>
  <si>
    <t>Active/binder 71:29</t>
  </si>
  <si>
    <t>CC</t>
  </si>
  <si>
    <t>Active/C/Kynar 2801  70:15:15</t>
  </si>
  <si>
    <t>Active/C/Kynar 2801  80:8:12</t>
  </si>
  <si>
    <t>Li1.048Mn0.095Ni0.86O2</t>
  </si>
  <si>
    <t>Li1.13Mn0.26Ni0.61O2</t>
  </si>
  <si>
    <t>LiNi0.70Co0.15Al0.15O2</t>
  </si>
  <si>
    <t>1M LiPF6/PC:EC/DMC (1:1:3 v:v )</t>
  </si>
  <si>
    <t>Active/C/PTFE 88:10:2</t>
  </si>
  <si>
    <t>Guilmard2003JSSI</t>
  </si>
  <si>
    <t>Active/C/PVDF 74:7.5:18.5</t>
  </si>
  <si>
    <t>http://dx.doi.org/10.1149/1.1407994</t>
  </si>
  <si>
    <t>http://dx.doi.org/10.1016/S0167-2738(03)00106-1</t>
  </si>
  <si>
    <t>Lu2001ESSL</t>
  </si>
  <si>
    <t>LiNi5/12Li1/18Mn19/36O2</t>
  </si>
  <si>
    <t>LiNi.5Mn.5O2</t>
  </si>
  <si>
    <t>comments</t>
  </si>
  <si>
    <t>LiNi1/3Li1/9Mn5/9O2</t>
  </si>
  <si>
    <t>http://dx.doi.org/10.1016/S0378-7753(00)00653-4</t>
  </si>
  <si>
    <t>solid state not sure</t>
  </si>
  <si>
    <t>Active/C/PVDF 86:8:6</t>
  </si>
  <si>
    <r>
      <t>heat-treatments of 750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</si>
  <si>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t>1M LiPF6 PC/DMC/EC(1/1/3 vol)</t>
  </si>
  <si>
    <t>LiNi0.865Co0.09Mg0.055O2</t>
  </si>
  <si>
    <t>C1is equal to C18</t>
  </si>
  <si>
    <t>LiNi0.91Co0.09O2</t>
  </si>
  <si>
    <t>C1is equal to C23</t>
  </si>
  <si>
    <t>Kang2009JEC</t>
  </si>
  <si>
    <t>http://dx.doi.org/10.1016/j.elecom.2009.01.025</t>
  </si>
  <si>
    <t>Active/C/PVDF 80:10:10</t>
  </si>
  <si>
    <t>1.2 M LiPF6/EC:EMC (3:7)</t>
  </si>
  <si>
    <t>0.5Li2MnO3.0.5LiNi0.44Co0.25Mn0.31O2</t>
  </si>
  <si>
    <t>2032 coin cell</t>
  </si>
  <si>
    <t>Li–Ni–PO4-treated+550o heat treatment</t>
  </si>
  <si>
    <t>C50=C47</t>
  </si>
  <si>
    <t>C50=C48</t>
  </si>
  <si>
    <t>untreated</t>
  </si>
  <si>
    <t>http://dx.doi.org/10.1149/1.1601228</t>
  </si>
  <si>
    <t>Sun2003JES</t>
  </si>
  <si>
    <t>Solid state+sol gel not sure</t>
  </si>
  <si>
    <t>1M LiPF6/EC:DMC (1:1 v:v )</t>
  </si>
  <si>
    <t>Celgard 2300</t>
  </si>
  <si>
    <t>Active/C/PVDF&amp;NMP 85:10:5</t>
  </si>
  <si>
    <t>calcination at 600</t>
  </si>
  <si>
    <t>LiCo1/3Ni1/3Mn1/3O2</t>
  </si>
  <si>
    <t>Active/C/Kynar-Flex 84:8:8</t>
  </si>
  <si>
    <t>2220 coin cell</t>
  </si>
  <si>
    <t xml:space="preserve">1M LiPF6/EC:DMC </t>
  </si>
  <si>
    <t>Celgard</t>
  </si>
  <si>
    <t>Yin2006JCM</t>
  </si>
  <si>
    <t>http://dx.doi.org/10.1021/cm0511769</t>
  </si>
  <si>
    <t>sol-gel not sure</t>
  </si>
  <si>
    <t>LiMn1.5Ni0.5O4</t>
  </si>
  <si>
    <t>Kunduraci2008JEA</t>
  </si>
  <si>
    <t>http://dx.doi.org/10.1016/j.electacta.2007.12.057</t>
  </si>
  <si>
    <t>2025 coin cell</t>
  </si>
  <si>
    <t>sol-gel(Pechini process)</t>
  </si>
  <si>
    <t>No glycol</t>
  </si>
  <si>
    <t>7 mole ratio of glycol to acid used during synthesis</t>
  </si>
  <si>
    <t>C100=C96</t>
  </si>
  <si>
    <t>4 mole ratio of glycol to acid used during synthesis</t>
  </si>
  <si>
    <t>2 mole ratio of glycol to acid used during synthesis</t>
  </si>
  <si>
    <t>nano-LiNi0.5Mn1.5O4</t>
  </si>
  <si>
    <t>http://dx.doi.org/10.1016/j.electacta.2007.12.058</t>
  </si>
  <si>
    <t xml:space="preserve">http://dx.doi.org/ 10.1039/B806662K </t>
  </si>
  <si>
    <t>Shaju2008JRSC</t>
  </si>
  <si>
    <t>c rate of charge</t>
  </si>
  <si>
    <t>c rate of discharge</t>
  </si>
  <si>
    <t>Coin cells (NRC 2325)</t>
  </si>
  <si>
    <t>Active/C/Kynar 2801 76:12:12</t>
  </si>
  <si>
    <t xml:space="preserve">resorcinol–formaldehyde </t>
  </si>
  <si>
    <t>ordered structure</t>
  </si>
  <si>
    <t>C1=C3</t>
  </si>
  <si>
    <t>Calcination T</t>
  </si>
  <si>
    <t>700-800</t>
  </si>
  <si>
    <t>disordered structure</t>
  </si>
  <si>
    <t>Shaju2008JCM</t>
  </si>
  <si>
    <t>http://dx.doi.org/10.1021/cm8010925</t>
  </si>
  <si>
    <t>nano-LiMn2O4</t>
  </si>
  <si>
    <t>Sol-gel</t>
  </si>
  <si>
    <t>Chen2004JEA</t>
  </si>
  <si>
    <t>http://dx.doi.org/10.1016/j.electacta.2003.10.019</t>
  </si>
  <si>
    <t>0.7M LiBOB /EC/DEC (1:2 v/v)</t>
  </si>
  <si>
    <t>Chen2003ESSL</t>
  </si>
  <si>
    <t>1M LiPF6/EC:DEC (33:67 v:v )</t>
  </si>
  <si>
    <t>Active/C/PVDF&amp;NMP 85:7:8</t>
  </si>
  <si>
    <t>http://dx.doi.org/10.1149/1.1611731</t>
  </si>
  <si>
    <t>ZrO2 Coated LiCoO2</t>
  </si>
  <si>
    <t>SiO2 Coated LiCoO2</t>
  </si>
  <si>
    <t>Al2O3 Coated LiCoO2</t>
  </si>
  <si>
    <t>C1=C4</t>
  </si>
  <si>
    <t xml:space="preserve"> LiCoO2</t>
  </si>
  <si>
    <t>C1=C4&amp;C100=C88</t>
  </si>
  <si>
    <t>C100=C91</t>
  </si>
  <si>
    <t xml:space="preserve"> LiCoO2  00642</t>
  </si>
  <si>
    <t>LiCoO2 010301</t>
  </si>
  <si>
    <t>C100=C76</t>
  </si>
  <si>
    <t>Li4/3Ti5/3O4</t>
  </si>
  <si>
    <t>LiCo0.33Mn0.33Ni0.33O2</t>
  </si>
  <si>
    <t>Active/C/PVDF&amp;NMP 90:10:10</t>
  </si>
  <si>
    <t>1M LiPF6/EC:PC (1:1 v:v )</t>
  </si>
  <si>
    <t>Reale2007JSSI</t>
  </si>
  <si>
    <t>http://dx.doi.org/10.1016/j.ssi.2007.07.016</t>
  </si>
  <si>
    <t>heat treated at 950</t>
  </si>
  <si>
    <t>heat treatment at 550</t>
  </si>
  <si>
    <t>annealing for 3h</t>
  </si>
  <si>
    <t>annealing for 9h</t>
  </si>
  <si>
    <t>Kim2008NL</t>
  </si>
  <si>
    <t>http://dx.doi.org/10.1021/nl8024328</t>
  </si>
  <si>
    <t>solid state</t>
  </si>
  <si>
    <t>650-750</t>
  </si>
  <si>
    <t>Celgard 2321</t>
  </si>
  <si>
    <t>1M LiPF6/EC:DEC (1:1 v:v )</t>
  </si>
  <si>
    <t>nanorode</t>
  </si>
  <si>
    <t>Li1.04Mg0.045Mn1.92O4</t>
  </si>
  <si>
    <t>Li1.07Mg0.049Mn1.88O4</t>
  </si>
  <si>
    <t>Wang2007JPS</t>
  </si>
  <si>
    <t>http://dx.doi.org/10.1016/j.jpowsour.2007.02.066</t>
  </si>
  <si>
    <t>C50=C45</t>
  </si>
  <si>
    <t>http://dx.doi.org/10.1149/1.2234852</t>
  </si>
  <si>
    <t>LiMn2O4/Ag</t>
  </si>
  <si>
    <t>Active/acetylene black/PVDF&amp;NMP 85:7:8</t>
  </si>
  <si>
    <t>Masquelier2002JES</t>
  </si>
  <si>
    <t>http://dx.doi.org/10.1149/1.1489686</t>
  </si>
  <si>
    <t>Active/acetylene black 83.3:16.7</t>
  </si>
  <si>
    <t>C50=35</t>
  </si>
  <si>
    <t>Swagelok-type</t>
  </si>
  <si>
    <t>ball-milledd for 60min</t>
  </si>
  <si>
    <t>FePO4.1.6H2O/C</t>
  </si>
  <si>
    <t>FePO4.2H2O/C</t>
  </si>
  <si>
    <t>Active/C/PTFE 74 : 21 : 5</t>
  </si>
  <si>
    <t>Na</t>
  </si>
  <si>
    <t>1M NaClO4 /PC</t>
  </si>
  <si>
    <t>CR2032 coin</t>
  </si>
  <si>
    <t>NaVOPO4</t>
  </si>
  <si>
    <t>http://dx.doi.org/10.1039/c3cc42172d</t>
  </si>
  <si>
    <t>Song2013JCC</t>
  </si>
  <si>
    <t>Dominko2006JPS</t>
  </si>
  <si>
    <t>http://dx.doi.org/10.1016/j.jpowsour.2005.05.033</t>
  </si>
  <si>
    <t>Active/C/PTFE 85:8:7</t>
  </si>
  <si>
    <t>Celgard No. 2402</t>
  </si>
  <si>
    <t>Shiratsuchi2009JEA</t>
  </si>
  <si>
    <t>CC-CV</t>
  </si>
  <si>
    <t>Ball-milling</t>
  </si>
  <si>
    <t>2032 coin-type</t>
  </si>
  <si>
    <t>Active/C/PTFE 70:25:5</t>
  </si>
  <si>
    <t>Celgard 3501</t>
  </si>
  <si>
    <t>anealing at 500</t>
  </si>
  <si>
    <t>http://dx.doi.org/10.1016/j.electacta.2008.11.069</t>
  </si>
  <si>
    <t>LiMn0.99Mg0.01PO4</t>
  </si>
  <si>
    <t>LiMn0.99Ti0.01PO4</t>
  </si>
  <si>
    <t>LiMn0.99Zr0.01PO4</t>
  </si>
  <si>
    <t>carbothermal reduction</t>
  </si>
  <si>
    <t>Active/C/PVdF-HFP 84:5:11</t>
  </si>
  <si>
    <t>1M LiPF6/EC:DMC (2:1 v:v )</t>
  </si>
  <si>
    <t>Barker2007JPS</t>
  </si>
  <si>
    <t>http://dx.doi.org/10.1016/j.jpowsour.2007.06.079</t>
  </si>
  <si>
    <t>LiV0.9Al0.1PO4F</t>
  </si>
  <si>
    <t>LiV0.75Al0.25PO4F</t>
  </si>
  <si>
    <t>LiV0.5Al0.5PO4F</t>
  </si>
  <si>
    <t>Allen2011JPS</t>
  </si>
  <si>
    <t>http://dx.doi.org/10.1016/j.jpowsour.2011.06.057</t>
  </si>
  <si>
    <t>sol-gel + Co-precipitation</t>
  </si>
  <si>
    <t>Active/C/PVdF 80:8:10</t>
  </si>
  <si>
    <t>CR2032</t>
  </si>
  <si>
    <t>1M LiPF6/EC:EMC (3:7 w/w )</t>
  </si>
  <si>
    <t>Li0.92Co0.8Fe0.2PO4</t>
  </si>
  <si>
    <t>Active/C/PVDF&amp;NMP 80:10:10</t>
  </si>
  <si>
    <t>Kokalj2007JCM</t>
  </si>
  <si>
    <t>http://dx.doi.org/10.1021/cm063011l</t>
  </si>
  <si>
    <t>Li2FeSiO4</t>
  </si>
  <si>
    <t>C100=85</t>
  </si>
  <si>
    <t>Li2MnSiO4</t>
  </si>
  <si>
    <t>Huang2006ESSL</t>
  </si>
  <si>
    <t>Rho2007JES</t>
  </si>
  <si>
    <t xml:space="preserve">http://dx.doi.org/10.1149/1.2433539 </t>
  </si>
  <si>
    <t>2220 coin-type</t>
  </si>
  <si>
    <t>Active/C/PVDF 85:10:5</t>
  </si>
  <si>
    <t>anealing at 600°C for 1 h</t>
  </si>
  <si>
    <t>discharge current (mA g-1)</t>
  </si>
  <si>
    <t>charge current (mA g-1)</t>
  </si>
  <si>
    <t>600°C for 15 h in Ar</t>
  </si>
  <si>
    <t>600°C for 15 h in Ar+600°C for 24 h in 7% H2/N2</t>
  </si>
  <si>
    <t>600°C for 15 h in Ar+800°C for 1 h in 7% H2/N2</t>
  </si>
  <si>
    <t>LiMn 0.85 Fe 0.15 PO 4</t>
  </si>
  <si>
    <t>Sun2011JAdMa</t>
  </si>
  <si>
    <t>http://dx.doi.org/10.1002/adma.201102497</t>
  </si>
  <si>
    <t>micro size</t>
  </si>
  <si>
    <t>15 h at 700 ° C</t>
  </si>
  <si>
    <t>Active/C/PVDF&amp;NMP 85:7.5:7.5</t>
  </si>
  <si>
    <t>R2032 coin-type</t>
  </si>
  <si>
    <t>Aravindan2010JMC</t>
  </si>
  <si>
    <t>http://dx.doi.org/10.1039/c0jm01635g</t>
  </si>
  <si>
    <t>700 °C for 5 h</t>
  </si>
  <si>
    <t>Aravindan2010BKCS</t>
  </si>
  <si>
    <t>http://dx.doi.org/10.5012/bkcs.2010.31.6.1506</t>
  </si>
  <si>
    <t>CR2032 coin-type</t>
  </si>
  <si>
    <t>Solid state</t>
  </si>
  <si>
    <t>20mg Active/3mgKetjen/3mgbinder</t>
  </si>
  <si>
    <t>LiMnBO3/C</t>
  </si>
  <si>
    <t>LiMnBO3</t>
  </si>
  <si>
    <t>Oh2012JMC</t>
  </si>
  <si>
    <t>http://dx.doi.org/10.1039/c2jm31933k</t>
  </si>
  <si>
    <t>Active/C/PVDF&amp;NMP 80:7.5:7.5</t>
  </si>
  <si>
    <t>3%AB(C in Active)</t>
  </si>
  <si>
    <t>C–LiCoPO4</t>
  </si>
  <si>
    <t>10%AB(C in Active)</t>
  </si>
  <si>
    <t>5%AB(C in Active)</t>
  </si>
  <si>
    <t>Sharabi2011JEC</t>
  </si>
  <si>
    <t>http://dx.doi.org/10.1016/j.elecom.2011.05.006</t>
  </si>
  <si>
    <t>2032 coin-cells</t>
  </si>
  <si>
    <t>hydrothermal</t>
  </si>
  <si>
    <t>LiCoPO4</t>
  </si>
  <si>
    <t>PE</t>
  </si>
  <si>
    <t>GP</t>
  </si>
  <si>
    <t>Quartz</t>
  </si>
  <si>
    <t>PE&amp;GP</t>
  </si>
  <si>
    <t>C50=C40</t>
  </si>
  <si>
    <t>commercial product</t>
  </si>
  <si>
    <t>nano-size</t>
  </si>
  <si>
    <t>Active/C/Teflon 85:8:7</t>
  </si>
  <si>
    <t>Celgard 2402</t>
  </si>
  <si>
    <t xml:space="preserve">700 at 10h&amp;heating rate of 5 K/min
</t>
  </si>
  <si>
    <t>http://dx.doi.org/10.1149/1.1872674</t>
  </si>
  <si>
    <t xml:space="preserve">700 at 1h&amp;heating rate of 5 K/min
</t>
  </si>
  <si>
    <t xml:space="preserve">700 at 1/4h&amp;heating rate of 5 K/min
</t>
  </si>
  <si>
    <t xml:space="preserve">heating rate of 100 K/min
</t>
  </si>
  <si>
    <t xml:space="preserve">heating rate of 2.5 K/min
</t>
  </si>
  <si>
    <t xml:space="preserve">heating rate of 1 K/min
</t>
  </si>
  <si>
    <t xml:space="preserve">heating rate of 5 K/min
</t>
  </si>
  <si>
    <t>C100=C81</t>
  </si>
  <si>
    <t>C50=C38</t>
  </si>
  <si>
    <t>Dominko2005JES</t>
  </si>
  <si>
    <t>Gong2008ESSL</t>
  </si>
  <si>
    <t>http://dx.doi.org/10.1149/1.2844287</t>
  </si>
  <si>
    <t>hydrothermal-assisted sol-gel</t>
  </si>
  <si>
    <t>CR2025 coin cells</t>
  </si>
  <si>
    <t>Celgard 2400</t>
  </si>
  <si>
    <t>1M LiPF6/EC:DEC (3:7 v:v )</t>
  </si>
  <si>
    <t xml:space="preserve"> sol-gel</t>
  </si>
  <si>
    <t>Swagelok-type cells</t>
  </si>
  <si>
    <t>Whatman GF/D borosilicate glass fibre</t>
  </si>
  <si>
    <t>1M LiPF6/EC:DMC (1:1 w:w )</t>
  </si>
  <si>
    <t>ball-milling</t>
  </si>
  <si>
    <t>Active/C 85:15</t>
  </si>
  <si>
    <t>LiFeSO4F</t>
  </si>
  <si>
    <t>Ellis2007JNMAT</t>
  </si>
  <si>
    <t>Recham2009JNMAT</t>
  </si>
  <si>
    <t>http://dx.doi.org/10.1038/NMAT2590</t>
  </si>
  <si>
    <t>Begam2006JPS</t>
  </si>
  <si>
    <t>http://dx.doi.org/10.1016/j.jpowsour.2006.04.133</t>
  </si>
  <si>
    <t>soft-combustion</t>
  </si>
  <si>
    <t>Active/C/PTFE 65:35:5</t>
  </si>
  <si>
    <t>C25=C20</t>
  </si>
  <si>
    <t>Yoo2011AEM</t>
  </si>
  <si>
    <t>http://dx.doi.org/10.1002/aenm.201000049</t>
  </si>
  <si>
    <t>Active/C/PVDF 93:3:4</t>
  </si>
  <si>
    <t>1.03M LiPF6/EC:DMC (1:2 v:v )</t>
  </si>
  <si>
    <t>Kishore2006MRB</t>
  </si>
  <si>
    <t>http://dx.doi.org/10.1016/j.materresbull.2005.09.005</t>
  </si>
  <si>
    <t>Active/C/PVDF&amp;NMP 45:45:10</t>
  </si>
  <si>
    <t>Teklon</t>
  </si>
  <si>
    <t>1M LiPF6/EC:DMC (1:1  )</t>
  </si>
  <si>
    <t>LiCoAsO4</t>
  </si>
  <si>
    <t>Delacourt2006ESSL</t>
  </si>
  <si>
    <t>http://dx.doi.org/10.1149/1.2201987</t>
  </si>
  <si>
    <t>Active/C 95:5</t>
  </si>
  <si>
    <t>whattman GF/D borosilicate glass fiber</t>
  </si>
  <si>
    <t>Gibot2008NMAT</t>
  </si>
  <si>
    <t>http://dx.doi.org/10.1038/nmat2245</t>
  </si>
  <si>
    <t>Chen2008JSSI</t>
  </si>
  <si>
    <t>http://dx.doi.org/10.1016/j.ssi.2007.10.015</t>
  </si>
  <si>
    <t>Bag Cell</t>
  </si>
  <si>
    <t>Active/C/Teflon 75:15:10</t>
  </si>
  <si>
    <t>Hydrothermal</t>
  </si>
  <si>
    <t>Ni2012JEA</t>
  </si>
  <si>
    <t>http://dx.doi.org/10.1016/j.electacta.2012.03.080</t>
  </si>
  <si>
    <t>in situ</t>
  </si>
  <si>
    <t>ex situ</t>
  </si>
  <si>
    <t>LiCoPO4/C</t>
  </si>
  <si>
    <t>Oh2010JAFM</t>
  </si>
  <si>
    <t>http://dx.doi.org/10.1002/adfm.201000469</t>
  </si>
  <si>
    <t>LiMnPO 4/C</t>
  </si>
  <si>
    <t>ultrasonic spray pyrolysis</t>
  </si>
  <si>
    <t>1M LiPF6/EC:DEC (1:1  )</t>
  </si>
  <si>
    <t>1M LiPF6/EC:DMC (1:1  v:v )</t>
  </si>
  <si>
    <t>10%AB</t>
  </si>
  <si>
    <t>20%AB</t>
  </si>
  <si>
    <t>30%AB</t>
  </si>
  <si>
    <t>40%AB</t>
  </si>
  <si>
    <t>Barker2005JES</t>
  </si>
  <si>
    <t>1M LiPF6/EC:DMC (2:1  w:w)</t>
  </si>
  <si>
    <t>Whatman,Grade GF/A</t>
  </si>
  <si>
    <t>http://dx.doi.org/10.1149/1.1990068</t>
  </si>
  <si>
    <t>Carbothermal Reduction</t>
  </si>
  <si>
    <t>LiFePO4F</t>
  </si>
  <si>
    <t>Ramesh2010ESSL</t>
  </si>
  <si>
    <t>http://dx.doi.org/10.1149/1.3298353</t>
  </si>
  <si>
    <t>ball-milling not sure</t>
  </si>
  <si>
    <t>Active/C/PVdF 70:20:10</t>
  </si>
  <si>
    <t>1M LiPF6/EC:DMC (1:1 )</t>
  </si>
  <si>
    <t>coin-cell</t>
  </si>
  <si>
    <t>C50=C37</t>
  </si>
  <si>
    <t xml:space="preserve">http://dx.doi.org/10.1149/1.2006509 </t>
  </si>
  <si>
    <t>LiPF6-EC-PC-PVdF</t>
  </si>
  <si>
    <t>Li4Ti5O12</t>
  </si>
  <si>
    <t>Co-precipitation not sure</t>
  </si>
  <si>
    <t>Li3V2P3O12/C</t>
  </si>
  <si>
    <t>http://dx.doi.org/10.1149/1.2437072</t>
  </si>
  <si>
    <t>Barker2007JES</t>
  </si>
  <si>
    <t>1M LiPF6/EC:DMC (2:1 W)</t>
  </si>
  <si>
    <t>glass fiber filter</t>
  </si>
  <si>
    <t>Li3V1.9Al0.1P3O12/C</t>
  </si>
  <si>
    <t>Li3V1.75Al0.25P3O12/C</t>
  </si>
  <si>
    <t>Li3V1.5Al0.5P3O12/C</t>
  </si>
  <si>
    <t>C50=C46</t>
  </si>
  <si>
    <t>C50=C32</t>
  </si>
  <si>
    <t>Reddy2010JPS</t>
  </si>
  <si>
    <t>Zhou2009JEC</t>
  </si>
  <si>
    <t>Reale2005JES</t>
  </si>
  <si>
    <t>groups</t>
  </si>
  <si>
    <t>Co</t>
  </si>
  <si>
    <t>Mn</t>
  </si>
  <si>
    <t>Ni</t>
  </si>
  <si>
    <t>V</t>
  </si>
  <si>
    <t>Fe</t>
  </si>
  <si>
    <t>LiTiO</t>
  </si>
  <si>
    <t>LiPF6 EC/DMC (1:1 v/v)</t>
  </si>
  <si>
    <t>Anode</t>
  </si>
  <si>
    <t>Electrolyte</t>
  </si>
  <si>
    <t>LipF</t>
  </si>
  <si>
    <t>LiCl</t>
  </si>
  <si>
    <t>LiBOB</t>
  </si>
  <si>
    <t>MLiN(CF3SO2)</t>
  </si>
  <si>
    <t>MacNeil2002JES</t>
  </si>
  <si>
    <t>http://dx.doi.org/10.1016/ 10.1149/1.2085950</t>
  </si>
  <si>
    <t>Dahn1991JES</t>
  </si>
  <si>
    <t>Prosini2001JEA</t>
  </si>
  <si>
    <t>http://dx.doi.org/10.1016/S0013-4686(01)00631-4</t>
  </si>
  <si>
    <t>http://dx.doi.org/ 10.1149/1.1393283</t>
  </si>
  <si>
    <t>http://dx.doi.org/10.1016/S0378-7753(01)00692-9</t>
  </si>
  <si>
    <t>http://dx.doi.org/10.1016/S1388-2481(02)00370-3</t>
  </si>
  <si>
    <t>http://dx.doi.org/10.1016/S0378-7753(02)00169-6</t>
  </si>
  <si>
    <t>LiV3O8</t>
  </si>
  <si>
    <t>Singhal2007ESSL</t>
  </si>
  <si>
    <t>Active/C/PVDF 70:20:10</t>
  </si>
  <si>
    <t>Active/C/PVDF 70:20:11</t>
  </si>
  <si>
    <t>Active/C/PVDF 70:20:12</t>
  </si>
  <si>
    <t>Active/C/PVDF&amp;NMP 80:7:7</t>
  </si>
  <si>
    <t>Active/C/PVDF&amp;NMP 80:7:8</t>
  </si>
  <si>
    <t>Active/C/PVDF&amp;NMP 80:7:9</t>
  </si>
  <si>
    <t>Active/C/PVDF&amp;NMP 80:7:10</t>
  </si>
  <si>
    <t>Active/C/PVDF&amp;NMP 80:7:11</t>
  </si>
  <si>
    <t>Active/C/PVDF&amp;NMP 80:7:12</t>
  </si>
  <si>
    <t>Active/C/PVDF&amp;NMP 80:7:13</t>
  </si>
  <si>
    <t>Active/C/PVDF&amp;NMP 80:7:14</t>
  </si>
  <si>
    <t>Active/C/PVDF&amp;NMP 80:7:15</t>
  </si>
  <si>
    <t>Active/C/PVDF&amp;NMP 80:7:16</t>
  </si>
  <si>
    <t>Active/C/PVDF&amp;NMP 80:7:17</t>
  </si>
  <si>
    <t>Active/C/PVDF&amp;NMP 80:7:18</t>
  </si>
  <si>
    <t>Active/C/PVDF&amp;NMP 80:7:19</t>
  </si>
  <si>
    <t>Active/C/PVDF&amp;NMP 80:7:20</t>
  </si>
  <si>
    <t>Active/C/PVDF&amp;NMP 80:7:21</t>
  </si>
  <si>
    <t>Active/C/PVDF 80:15:5</t>
  </si>
  <si>
    <t>Active/C/PTFE 87.3:9.7:3</t>
  </si>
  <si>
    <t>Active/C/PTFE 90.5:2:7.5</t>
  </si>
  <si>
    <t>Active/C/PTFE 90.5:2:7.6</t>
  </si>
  <si>
    <t>Active/C/PVdF&amp;HFP 84:5:11</t>
  </si>
  <si>
    <t>Active/C/PVdF 84:5:11</t>
  </si>
  <si>
    <t>Active/C/PVdF 85:10:5</t>
  </si>
  <si>
    <t>Active/C/PVdF 75:15:10</t>
  </si>
  <si>
    <t>Active/C/PVdF 88:6:6</t>
  </si>
  <si>
    <t>Active/C/PVdF 75:20:5</t>
  </si>
  <si>
    <t>Active/C/PVdF 85:5:10</t>
  </si>
  <si>
    <t>Charge voltage 1</t>
  </si>
  <si>
    <t>Charge voltage 2</t>
  </si>
  <si>
    <t>Charge voltage 3</t>
  </si>
  <si>
    <t>Charge voltage 4</t>
  </si>
  <si>
    <t>discharge voltage1</t>
  </si>
  <si>
    <t>discharge voltage2</t>
  </si>
  <si>
    <t>discharge voltage3</t>
  </si>
  <si>
    <t>discharge voltage4</t>
  </si>
  <si>
    <t>LiNi0.5Mn0.5O2</t>
  </si>
  <si>
    <t>3-3.5</t>
  </si>
  <si>
    <t>2,10,20,30,40,50</t>
  </si>
  <si>
    <t>.2,.5</t>
  </si>
  <si>
    <t>.2,.5,1,3,5,10</t>
  </si>
  <si>
    <t>.125,.2,.5,1,2</t>
  </si>
  <si>
    <t>.5,2</t>
  </si>
  <si>
    <t>exist</t>
  </si>
  <si>
    <t>.05,.1,.25,.5,1,2</t>
  </si>
  <si>
    <t>.1,.2,.5,1,2,4</t>
  </si>
  <si>
    <t>.14,.27,.42,.62,.7,1.4</t>
  </si>
  <si>
    <t>.1,.2,.5,.33,1</t>
  </si>
  <si>
    <t>1,10,20,30,40</t>
  </si>
  <si>
    <t>.2,1,10,20,60</t>
  </si>
  <si>
    <t>.1,.2,.5,1</t>
  </si>
  <si>
    <t>1,2,4,8,10</t>
  </si>
  <si>
    <t>.2,.5,1,2,5</t>
  </si>
  <si>
    <t>.02,.22,.44,.66,.88,1.11</t>
  </si>
  <si>
    <t>0.1,0.2,2</t>
  </si>
  <si>
    <t>.11,.22.55,1.1,2.2,5.5,10.9,14.8</t>
  </si>
  <si>
    <t>.05,.1,.5,1,2,3</t>
  </si>
  <si>
    <t xml:space="preserve">  </t>
  </si>
  <si>
    <t>.1,.2,.5,1,2,3,5,10</t>
  </si>
  <si>
    <t>.1,.2,.3,.5,1,2,5</t>
  </si>
  <si>
    <t>.1,.5,1,2,3,4,5,6,7,8,9,10</t>
  </si>
  <si>
    <t>2,5,10</t>
  </si>
  <si>
    <t>.1,.5,1,3,6,10</t>
  </si>
  <si>
    <t>.02,.05,.1,.2,.5,1</t>
  </si>
  <si>
    <t>.02,.25,.1,.2,.5,1,2,5,10,20</t>
  </si>
  <si>
    <t>.05,.1,.2,.5,1,2,3,5,7,10</t>
  </si>
  <si>
    <t>.1,.2,.5,1,1.5,2.5,5</t>
  </si>
  <si>
    <t>particle size lowest(Nm)</t>
  </si>
  <si>
    <r>
      <t>particle size highest(</t>
    </r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m)</t>
    </r>
  </si>
  <si>
    <t>0.2 not sure</t>
  </si>
  <si>
    <t>1not sure</t>
  </si>
  <si>
    <t>pore size</t>
  </si>
  <si>
    <t>1M LiPF6/EC:DEC (1:2 v)</t>
  </si>
  <si>
    <t>http://dx.doi.org/10.1016/j.elecom.2008.12.052</t>
  </si>
  <si>
    <t>http://dx.doi.org/10.1016/j.jpowsour.2010.03.032</t>
  </si>
  <si>
    <t>Active/C/PVdF 70:15:15</t>
  </si>
  <si>
    <t>2016 coin-cells</t>
  </si>
  <si>
    <t>Amarilla2009JPS</t>
  </si>
  <si>
    <t>Wang2011JEA</t>
  </si>
  <si>
    <t>Zhang2012JES</t>
  </si>
  <si>
    <t>http://dx.doi.org/10.1016/j.jpowsour.2009.02.026</t>
  </si>
  <si>
    <t>sucrose-aided combustion</t>
  </si>
  <si>
    <t>CR2032 coin cells</t>
  </si>
  <si>
    <t>Active/C/Kaynar 72:17:11</t>
  </si>
  <si>
    <t>LiMn1.98Li0.01Ni0.01O4</t>
  </si>
  <si>
    <t>LiMn1.93Li0.06Ni0.01O4</t>
  </si>
  <si>
    <t>LiMn1.98Li0.01Al0.01O4</t>
  </si>
  <si>
    <t>LiMn1.93Li0.06Al0.01O4</t>
  </si>
  <si>
    <t>LiMn1.98Li0.01Cr0.01O4</t>
  </si>
  <si>
    <t>LiMn1.93Li0.06Cr0.01O4</t>
  </si>
  <si>
    <t>LiMn1.98Li0.01Co0.01O4</t>
  </si>
  <si>
    <t>LiMn1.93Li0.06Co0.01O4</t>
  </si>
  <si>
    <t>700 ◦C-heated</t>
  </si>
  <si>
    <t>701 ◦C-heated</t>
  </si>
  <si>
    <t>.2,1,3,5</t>
  </si>
  <si>
    <t>FePO4</t>
  </si>
  <si>
    <t>Active/C/PVdF&amp;NMP 80:15:5</t>
  </si>
  <si>
    <t>CR2032 coin-type cells</t>
  </si>
  <si>
    <t>http://dx.doi.org/10.1016/j.electacta.2011.09.053</t>
  </si>
  <si>
    <t>PVA(execc Carbon) 10%</t>
  </si>
  <si>
    <t>.1,1,2,5,10,20</t>
  </si>
  <si>
    <t>Ti</t>
  </si>
  <si>
    <t>mass</t>
  </si>
  <si>
    <t>capacity calculation</t>
  </si>
  <si>
    <t>Li2.95Cr0.9Mn1.09O4.11</t>
  </si>
  <si>
    <t>Li2Ni2Mo3O12</t>
  </si>
  <si>
    <t>AVG Voltage</t>
  </si>
  <si>
    <t>Capacity retention in 10Creletive to 1C</t>
  </si>
  <si>
    <t>.13,.27,.8,2.7</t>
  </si>
  <si>
    <t>INP</t>
  </si>
  <si>
    <t>x1</t>
  </si>
  <si>
    <t>x2</t>
  </si>
  <si>
    <t>y1</t>
  </si>
  <si>
    <t>y2</t>
  </si>
  <si>
    <t>x</t>
  </si>
  <si>
    <t>y</t>
  </si>
  <si>
    <t>.05,.1,.2,.5,1,2,5</t>
  </si>
  <si>
    <t>.14,.54,1.1,1.6,2.2</t>
  </si>
  <si>
    <t>spray pyrolysis method</t>
  </si>
  <si>
    <t>Active/C/PVdF 80:10:10</t>
  </si>
  <si>
    <t>Active/C/PVdF&amp;NMP 80:10:10</t>
  </si>
  <si>
    <t>Active/C/PVdF&amp;NMP 80:10:11</t>
  </si>
  <si>
    <t>Active/C/PVdF&amp;NMP 80:10:12</t>
  </si>
  <si>
    <t>Active/C/PVdF&amp;NMP 80:10:13</t>
  </si>
  <si>
    <t>2500 Celgard membrane</t>
  </si>
  <si>
    <t>1M LiPF6/EC:DMC:DEC (1:1:1 v)</t>
  </si>
  <si>
    <t>Li1.5Ni0.25Mn0.75O2.5</t>
  </si>
  <si>
    <t>anealed at 700</t>
  </si>
  <si>
    <t>anealed at 800</t>
  </si>
  <si>
    <t>Li1.438Ni0.25Mn0.75O2.469</t>
  </si>
  <si>
    <t>Li1.375Ni0.25Mn0.75O2.4375</t>
  </si>
  <si>
    <t>Sun2008JES</t>
  </si>
  <si>
    <t>http://dx.doi.org/10.1149/1.2956088</t>
  </si>
  <si>
    <t>http://dx.doi.org/10.1149/2.079206jes</t>
  </si>
  <si>
    <t>coprecipitation</t>
  </si>
  <si>
    <t>porous polypropylene film</t>
  </si>
  <si>
    <t>1M LiPF6/EC:DEC (1:1 v)</t>
  </si>
  <si>
    <t>AlF3-coated</t>
  </si>
  <si>
    <t>pristine</t>
  </si>
  <si>
    <t>Sun2006JEC</t>
  </si>
  <si>
    <t>coprecipitation not sure</t>
  </si>
  <si>
    <t>MCMB</t>
  </si>
  <si>
    <t>.25,.5,1,1.5,2</t>
  </si>
  <si>
    <t>http://dx.doi.org/10.1016/j.elecom.2006.03.040</t>
  </si>
  <si>
    <t>Kang2013JRSC</t>
  </si>
  <si>
    <t>http://dx.doi.org/10.1039/c3ra44415e</t>
  </si>
  <si>
    <t>polyol-assisted pyrosynthetic</t>
  </si>
  <si>
    <t>LiMnPO4–LiMn2O4</t>
  </si>
  <si>
    <t>Chae2013JRSC</t>
  </si>
  <si>
    <t>Mno2</t>
  </si>
  <si>
    <t>Redox</t>
  </si>
  <si>
    <t>Active/Conducting Agent&amp;PTFE 80:20</t>
  </si>
  <si>
    <t>comment for rating performance</t>
  </si>
  <si>
    <t>1M NaClO4 In 1M PC</t>
  </si>
  <si>
    <t>http://dx.doi.org/10.1039/c3ra42897d</t>
  </si>
  <si>
    <t>molten salt method</t>
  </si>
  <si>
    <t>uncoated bulk LiCoO2</t>
  </si>
  <si>
    <t>Al2O3-coated nano-LiCoO2</t>
  </si>
  <si>
    <t>uncoated nano-LiCoO2</t>
  </si>
  <si>
    <t>http://dx.doi.org/dx.doi.org/10.1021/nl1030198</t>
  </si>
  <si>
    <t>Liu2012JMC</t>
  </si>
  <si>
    <t>Scott2010NL</t>
  </si>
  <si>
    <t>http://dx.doi.org/10.1039/c2jm35026b</t>
  </si>
  <si>
    <t>2016-type coin</t>
  </si>
  <si>
    <t>1M LiPF6/EC:DMC:EMC (1:1:1 v)</t>
  </si>
  <si>
    <t>0.5Li2MnO3. 0.5LiMn1/3Ni1/3Co1/3O2</t>
  </si>
  <si>
    <t>molten salt restriction</t>
  </si>
  <si>
    <t>co-precipitation</t>
  </si>
  <si>
    <t>polymer 
pyrolysis</t>
  </si>
  <si>
    <t>Xiao2008JSSE</t>
  </si>
  <si>
    <t>http://dx.doi.org/10.1007/s10008-007-0373-6</t>
  </si>
  <si>
    <t>Active/C/PTFE 85:7:8</t>
  </si>
  <si>
    <t>Celgard
2400</t>
  </si>
  <si>
    <t>1M LiPF6/EC:DMC:EMC (1:1:1 w)</t>
  </si>
  <si>
    <t>nanoarchitectured PI-coated</t>
  </si>
  <si>
    <t>Active/C/PVDF 95:2:3</t>
  </si>
  <si>
    <t>2032-type coin</t>
  </si>
  <si>
    <t>1.4 M LiPF6/EC:FEC:DMC:EMC (1/2/6/2 v)</t>
  </si>
  <si>
    <t>ParkJEA2012</t>
  </si>
  <si>
    <t>http://dx.doi.org/10.1016/j.electacta.2012.04.073</t>
  </si>
  <si>
    <t>.2,.5,1,2</t>
  </si>
  <si>
    <t>Active/C/PVdF&amp;NMP 85:7.5:7.5</t>
  </si>
  <si>
    <t>.1,.5,1,2,3,5</t>
  </si>
  <si>
    <t>Oh2010JEA</t>
  </si>
  <si>
    <t>http://dx.doi.org/10.1016/j.electacta.2009.10.007</t>
  </si>
  <si>
    <t>Sun2009JPS</t>
  </si>
  <si>
    <t>Rangappa2009JPS</t>
  </si>
  <si>
    <t>Active/C/PTFE 84:8:8</t>
  </si>
  <si>
    <t>1M LiPF6/EC:DEC (1:1)</t>
  </si>
  <si>
    <t>http://dx.doi.org/10.1016/j.jpowsour.2008.10.120</t>
  </si>
  <si>
    <t>High conductive PAS covering</t>
  </si>
  <si>
    <t>http://dx.doi.org/10.1016/j.jpowsour.2009.06.042</t>
  </si>
  <si>
    <t>organic molecules assisted
supercritical water</t>
  </si>
  <si>
    <t>Active/C/CNT/PTFE 75:10:10:5</t>
  </si>
  <si>
    <t>1M LiClO4/EC:DEC (1:1 v)</t>
  </si>
  <si>
    <t>1,2,5,6,8</t>
  </si>
  <si>
    <t>Ma2009JEC</t>
  </si>
  <si>
    <t>CV</t>
  </si>
  <si>
    <t>10mV/s</t>
  </si>
  <si>
    <t>1.6,16</t>
  </si>
  <si>
    <t>microwave-assisted hydrothermal reaction</t>
  </si>
  <si>
    <t>1M LiClO4 in PC</t>
  </si>
  <si>
    <t>LMO&amp;CNT/C/PVDF 67:28:5</t>
  </si>
  <si>
    <t>Jugović2008JSSI</t>
  </si>
  <si>
    <t>http://dx.doi.org/10.1016/j.ssi.2008.03.014</t>
  </si>
  <si>
    <t>ultrasound assisted synthesis</t>
  </si>
  <si>
    <t>Active/C/PVDF 75:20:5</t>
  </si>
  <si>
    <t>Tang2008JAE</t>
  </si>
  <si>
    <t>http://dx.doi.org/10.1007/s10800-008-9589-0</t>
  </si>
  <si>
    <t>homogeneous mixing
route</t>
  </si>
  <si>
    <t>Celgard2400</t>
  </si>
  <si>
    <t>1M LiPF6/EC:DMC (1:1 v)</t>
  </si>
  <si>
    <t>carbon
content 7wt%</t>
  </si>
  <si>
    <t>carbon
content 5.8wt%</t>
  </si>
  <si>
    <t>carbon
content 4.4wt%</t>
  </si>
  <si>
    <t>carbon
content 3.4wt%</t>
  </si>
  <si>
    <t>carbon
content 2.3wt%</t>
  </si>
  <si>
    <t>carbon
content 1.2wt%</t>
  </si>
  <si>
    <t>C50=C30</t>
  </si>
  <si>
    <t>yan2009JEA</t>
  </si>
  <si>
    <t>http://dx.doi.org/10.1016/j.electacta.2009.05.048</t>
  </si>
  <si>
    <t>2025 coin-type</t>
  </si>
  <si>
    <t>3.8 wt.% carbon content</t>
  </si>
  <si>
    <t>.2,4,10,16,20</t>
  </si>
  <si>
    <t>Wu2010JPS</t>
  </si>
  <si>
    <t>http://dx.doi.org/10.1016/j.jpowsour.2009.11.029</t>
  </si>
  <si>
    <t>Celgard2325</t>
  </si>
  <si>
    <t>1.2M LiPF6/EC:EMC (3:7 w)</t>
  </si>
  <si>
    <t>Sol-Jel</t>
  </si>
  <si>
    <t>ZrP2O7-coated</t>
  </si>
  <si>
    <t>ZrO2-coated</t>
  </si>
  <si>
    <t>Hagh2010JES</t>
  </si>
  <si>
    <t>http://dx.doi.org/10.1149/1.3280289</t>
  </si>
  <si>
    <t>modified Pechini method(sol-gel)</t>
  </si>
  <si>
    <t xml:space="preserve">1M LiPF6/EC-DMC </t>
  </si>
  <si>
    <t>Active/C/PVDF 52:13:35</t>
  </si>
  <si>
    <t>LiMn1.5Ni0.5O4_x0001_</t>
  </si>
  <si>
    <t>untreateed</t>
  </si>
  <si>
    <t>1%HF Acid-treated</t>
  </si>
  <si>
    <t>2.5%HF Acid-treated</t>
  </si>
  <si>
    <t>10%HF Acid-treated</t>
  </si>
  <si>
    <t>25%HF Acid-treated</t>
  </si>
  <si>
    <t>phosphoric acid Acid-treated</t>
  </si>
  <si>
    <t>HF Acid-treated</t>
  </si>
  <si>
    <t>it failed at 110 cycle</t>
  </si>
  <si>
    <t>http://dx.doi.org/10.1016/j.elecom.2009.05.058</t>
  </si>
  <si>
    <t>discharge capacity values are actually capacity</t>
  </si>
  <si>
    <t>coulombic efficiency at first cycle</t>
  </si>
  <si>
    <t>ptimized crystalline</t>
  </si>
  <si>
    <t xml:space="preserve">as prepared </t>
  </si>
  <si>
    <t>Commercial</t>
  </si>
  <si>
    <t>Capacity ratio in 1C reletive to 0.1C</t>
  </si>
  <si>
    <t>nano</t>
  </si>
  <si>
    <t>structure type</t>
  </si>
  <si>
    <t>mid point voltage(for energy)</t>
  </si>
  <si>
    <t>Redox Voltage</t>
  </si>
  <si>
    <t>comment for discharge capacity</t>
  </si>
  <si>
    <t>SC</t>
  </si>
  <si>
    <t>grain not sure</t>
  </si>
  <si>
    <t>olivine</t>
  </si>
  <si>
    <t>monoclinic</t>
  </si>
  <si>
    <t xml:space="preserve">triclinic </t>
  </si>
  <si>
    <t>tetragonal</t>
  </si>
  <si>
    <t>rock-salt</t>
  </si>
  <si>
    <t>primitive cubic</t>
  </si>
  <si>
    <t>spinel</t>
  </si>
  <si>
    <t xml:space="preserve">layered  </t>
  </si>
  <si>
    <t>2D</t>
  </si>
  <si>
    <t>orthorhombic</t>
  </si>
  <si>
    <t>lamellar</t>
  </si>
  <si>
    <t>layered</t>
  </si>
  <si>
    <t>4..05</t>
  </si>
  <si>
    <t>layered not sure</t>
  </si>
  <si>
    <t>triclinic amblygonite</t>
  </si>
  <si>
    <t>OCV 3.9-4.1</t>
  </si>
  <si>
    <t>hexagonal structure of α-NaFeO2 type</t>
  </si>
  <si>
    <t>olivine–spinel</t>
  </si>
  <si>
    <t>triclinic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</si>
</sst>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2" borderId="0" xfId="1" applyFill="1" applyAlignment="1">
      <alignment horizontal="center" vertical="center"/>
    </xf>
    <xf numFmtId="0" fontId="4" fillId="0" borderId="0" xfId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4" fontId="0" fillId="0" borderId="0" xfId="0" applyNumberFormat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x.doi.org/10.1016/j.electacta.2007.12.057" TargetMode="External"/><Relationship Id="rId299" Type="http://schemas.openxmlformats.org/officeDocument/2006/relationships/hyperlink" Target="http://dx.doi.org/dx.doi.org/10.1021/nl1030198" TargetMode="External"/><Relationship Id="rId21" Type="http://schemas.openxmlformats.org/officeDocument/2006/relationships/hyperlink" Target="http://dx.doi.org/10.1016/S0378-7753(03)00245-3" TargetMode="External"/><Relationship Id="rId63" Type="http://schemas.openxmlformats.org/officeDocument/2006/relationships/hyperlink" Target="http://dx.doi.org/10.1149/1.1342168" TargetMode="External"/><Relationship Id="rId159" Type="http://schemas.openxmlformats.org/officeDocument/2006/relationships/hyperlink" Target="http://dx.doi.org/10.1016/j.jpowsour.2005.05.033" TargetMode="External"/><Relationship Id="rId324" Type="http://schemas.openxmlformats.org/officeDocument/2006/relationships/hyperlink" Target="http://dx.doi.org/10.1016/j.jpowsour.2009.11.029" TargetMode="External"/><Relationship Id="rId170" Type="http://schemas.openxmlformats.org/officeDocument/2006/relationships/hyperlink" Target="http://dx.doi.org/10.1016/j.jpowsour.2011.06.057" TargetMode="External"/><Relationship Id="rId226" Type="http://schemas.openxmlformats.org/officeDocument/2006/relationships/hyperlink" Target="http://dx.doi.org/10.1149/1.1990068" TargetMode="External"/><Relationship Id="rId268" Type="http://schemas.openxmlformats.org/officeDocument/2006/relationships/hyperlink" Target="http://dx.doi.org/10.1016/j.jpowsour.2009.02.026" TargetMode="External"/><Relationship Id="rId32" Type="http://schemas.openxmlformats.org/officeDocument/2006/relationships/hyperlink" Target="http://dx.doi.org/10.1149/1.1805524" TargetMode="External"/><Relationship Id="rId74" Type="http://schemas.openxmlformats.org/officeDocument/2006/relationships/hyperlink" Target="http://dx.doi.org/10.1149/1.1342168" TargetMode="External"/><Relationship Id="rId128" Type="http://schemas.openxmlformats.org/officeDocument/2006/relationships/hyperlink" Target="http://dx.doi.org/10.1149/1.1611731" TargetMode="External"/><Relationship Id="rId335" Type="http://schemas.openxmlformats.org/officeDocument/2006/relationships/hyperlink" Target="http://dx.doi.org/10.1149/1.3280289" TargetMode="External"/><Relationship Id="rId5" Type="http://schemas.openxmlformats.org/officeDocument/2006/relationships/hyperlink" Target="http://dx.doi.org/10.1149/1.1505633" TargetMode="External"/><Relationship Id="rId181" Type="http://schemas.openxmlformats.org/officeDocument/2006/relationships/hyperlink" Target="http://dx.doi.org/10.1039/c2jm31933k" TargetMode="External"/><Relationship Id="rId237" Type="http://schemas.openxmlformats.org/officeDocument/2006/relationships/hyperlink" Target="http://dx.doi.org/10.1016/%2010.1149/1.2085950" TargetMode="External"/><Relationship Id="rId279" Type="http://schemas.openxmlformats.org/officeDocument/2006/relationships/hyperlink" Target="http://dx.doi.org/10.1016/j.jpowsour.2009.02.026" TargetMode="External"/><Relationship Id="rId43" Type="http://schemas.openxmlformats.org/officeDocument/2006/relationships/hyperlink" Target="http://dx.doi.org/10.1149/1.2746767" TargetMode="External"/><Relationship Id="rId139" Type="http://schemas.openxmlformats.org/officeDocument/2006/relationships/hyperlink" Target="http://dx.doi.org/10.1016/j.electacta.2003.10.019" TargetMode="External"/><Relationship Id="rId290" Type="http://schemas.openxmlformats.org/officeDocument/2006/relationships/hyperlink" Target="http://dx.doi.org/10.1149/2.079206jes" TargetMode="External"/><Relationship Id="rId304" Type="http://schemas.openxmlformats.org/officeDocument/2006/relationships/hyperlink" Target="http://dx.doi.org/10.1007/s10008-007-0373-6" TargetMode="External"/><Relationship Id="rId85" Type="http://schemas.openxmlformats.org/officeDocument/2006/relationships/hyperlink" Target="http://dx.doi.org/10.1149/1.1954927" TargetMode="External"/><Relationship Id="rId150" Type="http://schemas.openxmlformats.org/officeDocument/2006/relationships/hyperlink" Target="http://dx.doi.org/10.1016/j.jpowsour.2007.02.066" TargetMode="External"/><Relationship Id="rId192" Type="http://schemas.openxmlformats.org/officeDocument/2006/relationships/hyperlink" Target="http://dx.doi.org/10.1016/j.elecom.2011.05.006" TargetMode="External"/><Relationship Id="rId206" Type="http://schemas.openxmlformats.org/officeDocument/2006/relationships/hyperlink" Target="http://dx.doi.org/10.1016/j.jpowsour.2006.04.133" TargetMode="External"/><Relationship Id="rId248" Type="http://schemas.openxmlformats.org/officeDocument/2006/relationships/hyperlink" Target="http://dx.doi.org/10.1016/S0378-7753%2801%2900692-9" TargetMode="External"/><Relationship Id="rId12" Type="http://schemas.openxmlformats.org/officeDocument/2006/relationships/hyperlink" Target="http://dx.doi.org/10.1149/1.1505633" TargetMode="External"/><Relationship Id="rId108" Type="http://schemas.openxmlformats.org/officeDocument/2006/relationships/hyperlink" Target="http://dx.doi.org/10.1021/cm0511769" TargetMode="External"/><Relationship Id="rId315" Type="http://schemas.openxmlformats.org/officeDocument/2006/relationships/hyperlink" Target="http://dx.doi.org/10.1007/s10800-008-9589-0" TargetMode="External"/><Relationship Id="rId54" Type="http://schemas.openxmlformats.org/officeDocument/2006/relationships/hyperlink" Target="http://dx.doi.org/10.1149/1.2746767" TargetMode="External"/><Relationship Id="rId96" Type="http://schemas.openxmlformats.org/officeDocument/2006/relationships/hyperlink" Target="http://dx.doi.org/10.1149/1.1407994" TargetMode="External"/><Relationship Id="rId161" Type="http://schemas.openxmlformats.org/officeDocument/2006/relationships/hyperlink" Target="http://dx.doi.org/10.1016/j.electacta.2008.11.069" TargetMode="External"/><Relationship Id="rId217" Type="http://schemas.openxmlformats.org/officeDocument/2006/relationships/hyperlink" Target="http://dx.doi.org/10.1002/adfm.201000469" TargetMode="External"/><Relationship Id="rId259" Type="http://schemas.openxmlformats.org/officeDocument/2006/relationships/hyperlink" Target="http://dx.doi.org/10.1016/j.jallcom.2013.08.124" TargetMode="External"/><Relationship Id="rId23" Type="http://schemas.openxmlformats.org/officeDocument/2006/relationships/hyperlink" Target="http://dx.doi.org/10.1149/1.1609998" TargetMode="External"/><Relationship Id="rId119" Type="http://schemas.openxmlformats.org/officeDocument/2006/relationships/hyperlink" Target="http://dx.doi.org/10.1016/j.electacta.2007.12.057" TargetMode="External"/><Relationship Id="rId270" Type="http://schemas.openxmlformats.org/officeDocument/2006/relationships/hyperlink" Target="http://dx.doi.org/10.1016/j.jpowsour.2009.02.026" TargetMode="External"/><Relationship Id="rId326" Type="http://schemas.openxmlformats.org/officeDocument/2006/relationships/hyperlink" Target="http://dx.doi.org/10.1016/j.jpowsour.2009.11.029" TargetMode="External"/><Relationship Id="rId65" Type="http://schemas.openxmlformats.org/officeDocument/2006/relationships/hyperlink" Target="http://dx.doi.org/10.1149/1.1342168" TargetMode="External"/><Relationship Id="rId130" Type="http://schemas.openxmlformats.org/officeDocument/2006/relationships/hyperlink" Target="http://dx.doi.org/10.1149/1.1611731" TargetMode="External"/><Relationship Id="rId172" Type="http://schemas.openxmlformats.org/officeDocument/2006/relationships/hyperlink" Target="http://dx.doi.org/10.1149/1.2433539" TargetMode="External"/><Relationship Id="rId228" Type="http://schemas.openxmlformats.org/officeDocument/2006/relationships/hyperlink" Target="http://dx.doi.org/10.1149/1.3298353" TargetMode="External"/><Relationship Id="rId281" Type="http://schemas.openxmlformats.org/officeDocument/2006/relationships/hyperlink" Target="http://dx.doi.org/10.1016/j.jpowsour.2009.02.026" TargetMode="External"/><Relationship Id="rId337" Type="http://schemas.openxmlformats.org/officeDocument/2006/relationships/hyperlink" Target="http://dx.doi.org/10.1149/1.3280289" TargetMode="External"/><Relationship Id="rId34" Type="http://schemas.openxmlformats.org/officeDocument/2006/relationships/hyperlink" Target="http://dx.doi.org/10.1149/1.1805524" TargetMode="External"/><Relationship Id="rId76" Type="http://schemas.openxmlformats.org/officeDocument/2006/relationships/hyperlink" Target="http://dx.doi.org/10.1149/1.1342168" TargetMode="External"/><Relationship Id="rId141" Type="http://schemas.openxmlformats.org/officeDocument/2006/relationships/hyperlink" Target="http://dx.doi.org/10.1016/j.ssi.2007.07.016" TargetMode="External"/><Relationship Id="rId7" Type="http://schemas.openxmlformats.org/officeDocument/2006/relationships/hyperlink" Target="http://dx.doi.org/10.1149/1.1505633" TargetMode="External"/><Relationship Id="rId183" Type="http://schemas.openxmlformats.org/officeDocument/2006/relationships/hyperlink" Target="http://dx.doi.org/10.1039/c2jm31933k" TargetMode="External"/><Relationship Id="rId239" Type="http://schemas.openxmlformats.org/officeDocument/2006/relationships/hyperlink" Target="http://dx.doi.org/10.1016/S0013-4686%2801%2900631-4" TargetMode="External"/><Relationship Id="rId250" Type="http://schemas.openxmlformats.org/officeDocument/2006/relationships/hyperlink" Target="http://dx.doi.org/10.1016/S1388-2481%2802%2900370-3" TargetMode="External"/><Relationship Id="rId292" Type="http://schemas.openxmlformats.org/officeDocument/2006/relationships/hyperlink" Target="http://dx.doi.org/10.1149/1.2956088" TargetMode="External"/><Relationship Id="rId306" Type="http://schemas.openxmlformats.org/officeDocument/2006/relationships/hyperlink" Target="http://dx.doi.org/10.1016/j.electacta.2009.10.007" TargetMode="External"/><Relationship Id="rId45" Type="http://schemas.openxmlformats.org/officeDocument/2006/relationships/hyperlink" Target="http://dx.doi.org/10.1149/1.2746767" TargetMode="External"/><Relationship Id="rId87" Type="http://schemas.openxmlformats.org/officeDocument/2006/relationships/hyperlink" Target="http://dx.doi.org/10.1149/1.1429927" TargetMode="External"/><Relationship Id="rId110" Type="http://schemas.openxmlformats.org/officeDocument/2006/relationships/hyperlink" Target="http://dx.doi.org/10.1021/cm0511769" TargetMode="External"/><Relationship Id="rId152" Type="http://schemas.openxmlformats.org/officeDocument/2006/relationships/hyperlink" Target="http://dx.doi.org/10.1149/1.2234852" TargetMode="External"/><Relationship Id="rId194" Type="http://schemas.openxmlformats.org/officeDocument/2006/relationships/hyperlink" Target="http://dx.doi.org/10.1149/1.1872674" TargetMode="External"/><Relationship Id="rId208" Type="http://schemas.openxmlformats.org/officeDocument/2006/relationships/hyperlink" Target="http://dx.doi.org/10.1002/aenm.201000049" TargetMode="External"/><Relationship Id="rId240" Type="http://schemas.openxmlformats.org/officeDocument/2006/relationships/hyperlink" Target="http://dx.doi.org/%2010.1149/1.1393283" TargetMode="External"/><Relationship Id="rId261" Type="http://schemas.openxmlformats.org/officeDocument/2006/relationships/hyperlink" Target="http://dx.doi.org/155.97.234.93" TargetMode="External"/><Relationship Id="rId14" Type="http://schemas.openxmlformats.org/officeDocument/2006/relationships/hyperlink" Target="http://dx.doi.org/10.1038" TargetMode="External"/><Relationship Id="rId35" Type="http://schemas.openxmlformats.org/officeDocument/2006/relationships/hyperlink" Target="http://dx.doi.org/10.1149/1.1805524" TargetMode="External"/><Relationship Id="rId56" Type="http://schemas.openxmlformats.org/officeDocument/2006/relationships/hyperlink" Target="http://dx.doi.org/10.1149/1.2746767" TargetMode="External"/><Relationship Id="rId77" Type="http://schemas.openxmlformats.org/officeDocument/2006/relationships/hyperlink" Target="http://dx.doi.org/10.1149/1.1342168" TargetMode="External"/><Relationship Id="rId100" Type="http://schemas.openxmlformats.org/officeDocument/2006/relationships/hyperlink" Target="http://dx.doi.org/10.1016/S0378-7753%2800%2900653-4" TargetMode="External"/><Relationship Id="rId282" Type="http://schemas.openxmlformats.org/officeDocument/2006/relationships/hyperlink" Target="http://dx.doi.org/10.1016/j.jpowsour.2009.02.026" TargetMode="External"/><Relationship Id="rId317" Type="http://schemas.openxmlformats.org/officeDocument/2006/relationships/hyperlink" Target="http://dx.doi.org/10.1007/s10800-008-9589-0" TargetMode="External"/><Relationship Id="rId338" Type="http://schemas.openxmlformats.org/officeDocument/2006/relationships/hyperlink" Target="http://dx.doi.org/10.1149/1.3280289" TargetMode="External"/><Relationship Id="rId8" Type="http://schemas.openxmlformats.org/officeDocument/2006/relationships/hyperlink" Target="http://dx.doi.org/10.1149/1.1505633" TargetMode="External"/><Relationship Id="rId98" Type="http://schemas.openxmlformats.org/officeDocument/2006/relationships/hyperlink" Target="http://dx.doi.org/10.1149/1.1407994" TargetMode="External"/><Relationship Id="rId121" Type="http://schemas.openxmlformats.org/officeDocument/2006/relationships/hyperlink" Target="http://dx.doi.org/10.1016/j.electacta.2007.12.057" TargetMode="External"/><Relationship Id="rId142" Type="http://schemas.openxmlformats.org/officeDocument/2006/relationships/hyperlink" Target="http://dx.doi.org/10.1016/j.ssi.2007.07.016" TargetMode="External"/><Relationship Id="rId163" Type="http://schemas.openxmlformats.org/officeDocument/2006/relationships/hyperlink" Target="http://dx.doi.org/10.1016/j.electacta.2008.11.069" TargetMode="External"/><Relationship Id="rId184" Type="http://schemas.openxmlformats.org/officeDocument/2006/relationships/hyperlink" Target="http://dx.doi.org/10.1039/c2jm31933k" TargetMode="External"/><Relationship Id="rId219" Type="http://schemas.openxmlformats.org/officeDocument/2006/relationships/hyperlink" Target="http://dx.doi.org/10.1002/adfm.201000469" TargetMode="External"/><Relationship Id="rId230" Type="http://schemas.openxmlformats.org/officeDocument/2006/relationships/hyperlink" Target="http://dx.doi.org/10.1149/1.2006509" TargetMode="External"/><Relationship Id="rId251" Type="http://schemas.openxmlformats.org/officeDocument/2006/relationships/hyperlink" Target="http://dx.doi.org/10.1016/S1388-2481%2802%2900370-3" TargetMode="External"/><Relationship Id="rId25" Type="http://schemas.openxmlformats.org/officeDocument/2006/relationships/hyperlink" Target="http://dx.doi.org/10.1149/2.004204jes" TargetMode="External"/><Relationship Id="rId46" Type="http://schemas.openxmlformats.org/officeDocument/2006/relationships/hyperlink" Target="http://dx.doi.org/10.1149/1.2746767" TargetMode="External"/><Relationship Id="rId67" Type="http://schemas.openxmlformats.org/officeDocument/2006/relationships/hyperlink" Target="http://dx.doi.org/10.1149/1.1342168" TargetMode="External"/><Relationship Id="rId272" Type="http://schemas.openxmlformats.org/officeDocument/2006/relationships/hyperlink" Target="http://dx.doi.org/10.1016/j.jpowsour.2009.02.026" TargetMode="External"/><Relationship Id="rId293" Type="http://schemas.openxmlformats.org/officeDocument/2006/relationships/hyperlink" Target="http://dx.doi.org/10.1016/j.elecom.2006.03.040" TargetMode="External"/><Relationship Id="rId307" Type="http://schemas.openxmlformats.org/officeDocument/2006/relationships/hyperlink" Target="http://dx.doi.org/10.1016/j.jpowsour.2008.10.120" TargetMode="External"/><Relationship Id="rId328" Type="http://schemas.openxmlformats.org/officeDocument/2006/relationships/hyperlink" Target="http://dx.doi.org/10.1016/j.jpowsour.2009.11.029" TargetMode="External"/><Relationship Id="rId88" Type="http://schemas.openxmlformats.org/officeDocument/2006/relationships/hyperlink" Target="http://dx.doi.org/10.1149/1.1429927" TargetMode="External"/><Relationship Id="rId111" Type="http://schemas.openxmlformats.org/officeDocument/2006/relationships/hyperlink" Target="http://dx.doi.org/10.1021/cm0511769" TargetMode="External"/><Relationship Id="rId132" Type="http://schemas.openxmlformats.org/officeDocument/2006/relationships/hyperlink" Target="http://dx.doi.org/10.1149/1.1611731" TargetMode="External"/><Relationship Id="rId153" Type="http://schemas.openxmlformats.org/officeDocument/2006/relationships/hyperlink" Target="http://dx.doi.org/10.1149/1.2234852" TargetMode="External"/><Relationship Id="rId174" Type="http://schemas.openxmlformats.org/officeDocument/2006/relationships/hyperlink" Target="http://dx.doi.org/10.1149/1.2433539" TargetMode="External"/><Relationship Id="rId195" Type="http://schemas.openxmlformats.org/officeDocument/2006/relationships/hyperlink" Target="http://dx.doi.org/10.1149/1.1872674" TargetMode="External"/><Relationship Id="rId209" Type="http://schemas.openxmlformats.org/officeDocument/2006/relationships/hyperlink" Target="http://dx.doi.org/10.1016/j.materresbull.2005.09.005" TargetMode="External"/><Relationship Id="rId220" Type="http://schemas.openxmlformats.org/officeDocument/2006/relationships/hyperlink" Target="http://dx.doi.org/10.1002/adfm.201000469" TargetMode="External"/><Relationship Id="rId241" Type="http://schemas.openxmlformats.org/officeDocument/2006/relationships/hyperlink" Target="http://dx.doi.org/%2010.1149/1.1393283" TargetMode="External"/><Relationship Id="rId15" Type="http://schemas.openxmlformats.org/officeDocument/2006/relationships/hyperlink" Target="http://dx.doi.org/10.1038" TargetMode="External"/><Relationship Id="rId36" Type="http://schemas.openxmlformats.org/officeDocument/2006/relationships/hyperlink" Target="http://dx.doi.org/10.1149/1.1805524" TargetMode="External"/><Relationship Id="rId57" Type="http://schemas.openxmlformats.org/officeDocument/2006/relationships/hyperlink" Target="http://dx.doi.org/10.1149/1.2746767" TargetMode="External"/><Relationship Id="rId262" Type="http://schemas.openxmlformats.org/officeDocument/2006/relationships/hyperlink" Target="http://dx.doi.org/10.1016/j.elecom.2008.12.052" TargetMode="External"/><Relationship Id="rId283" Type="http://schemas.openxmlformats.org/officeDocument/2006/relationships/hyperlink" Target="http://dx.doi.org/10.1016/j.electacta.2011.09.053" TargetMode="External"/><Relationship Id="rId318" Type="http://schemas.openxmlformats.org/officeDocument/2006/relationships/hyperlink" Target="http://dx.doi.org/10.1007/s10800-008-9589-0" TargetMode="External"/><Relationship Id="rId339" Type="http://schemas.openxmlformats.org/officeDocument/2006/relationships/hyperlink" Target="http://dx.doi.org/10.1149/1.3280289" TargetMode="External"/><Relationship Id="rId78" Type="http://schemas.openxmlformats.org/officeDocument/2006/relationships/hyperlink" Target="http://dx.doi.org/10.1149/1.1342168" TargetMode="External"/><Relationship Id="rId99" Type="http://schemas.openxmlformats.org/officeDocument/2006/relationships/hyperlink" Target="http://dx.doi.org/10.1016/S0378-7753%2800%2900653-4" TargetMode="External"/><Relationship Id="rId101" Type="http://schemas.openxmlformats.org/officeDocument/2006/relationships/hyperlink" Target="http://dx.doi.org/10.1016/j.elecom.2009.01.025" TargetMode="External"/><Relationship Id="rId122" Type="http://schemas.openxmlformats.org/officeDocument/2006/relationships/hyperlink" Target="http://dx.doi.org/10.1021/cm8010925" TargetMode="External"/><Relationship Id="rId143" Type="http://schemas.openxmlformats.org/officeDocument/2006/relationships/hyperlink" Target="http://dx.doi.org/10.1016/j.ssi.2007.07.016" TargetMode="External"/><Relationship Id="rId164" Type="http://schemas.openxmlformats.org/officeDocument/2006/relationships/hyperlink" Target="http://dx.doi.org/10.1016/j.jpowsour.2007.06.079" TargetMode="External"/><Relationship Id="rId185" Type="http://schemas.openxmlformats.org/officeDocument/2006/relationships/hyperlink" Target="http://dx.doi.org/10.1039/c2jm31933k" TargetMode="External"/><Relationship Id="rId9" Type="http://schemas.openxmlformats.org/officeDocument/2006/relationships/hyperlink" Target="http://dx.doi.org/10.1149/1.1505633" TargetMode="External"/><Relationship Id="rId210" Type="http://schemas.openxmlformats.org/officeDocument/2006/relationships/hyperlink" Target="http://dx.doi.org/10.1149/1.2201987" TargetMode="External"/><Relationship Id="rId26" Type="http://schemas.openxmlformats.org/officeDocument/2006/relationships/hyperlink" Target="http://dx.doi.org/10.1149/2.004204jes" TargetMode="External"/><Relationship Id="rId231" Type="http://schemas.openxmlformats.org/officeDocument/2006/relationships/hyperlink" Target="http://dx.doi.org/10.1149/1.2006509" TargetMode="External"/><Relationship Id="rId252" Type="http://schemas.openxmlformats.org/officeDocument/2006/relationships/hyperlink" Target="http://dx.doi.org/10.1016/S1388-2481%2802%2900370-3" TargetMode="External"/><Relationship Id="rId273" Type="http://schemas.openxmlformats.org/officeDocument/2006/relationships/hyperlink" Target="http://dx.doi.org/10.1016/j.jpowsour.2009.02.026" TargetMode="External"/><Relationship Id="rId294" Type="http://schemas.openxmlformats.org/officeDocument/2006/relationships/hyperlink" Target="http://dx.doi.org/10.1016/j.elecom.2006.03.040" TargetMode="External"/><Relationship Id="rId308" Type="http://schemas.openxmlformats.org/officeDocument/2006/relationships/hyperlink" Target="http://dx.doi.org/10.1016/j.jpowsour.2008.10.120" TargetMode="External"/><Relationship Id="rId329" Type="http://schemas.openxmlformats.org/officeDocument/2006/relationships/hyperlink" Target="http://dx.doi.org/10.1149/1.3280289" TargetMode="External"/><Relationship Id="rId47" Type="http://schemas.openxmlformats.org/officeDocument/2006/relationships/hyperlink" Target="http://dx.doi.org/10.1149/1.2746767" TargetMode="External"/><Relationship Id="rId68" Type="http://schemas.openxmlformats.org/officeDocument/2006/relationships/hyperlink" Target="http://dx.doi.org/10.1149/1.1342168" TargetMode="External"/><Relationship Id="rId89" Type="http://schemas.openxmlformats.org/officeDocument/2006/relationships/hyperlink" Target="http://dx.doi.org/10.1149/1.1429927" TargetMode="External"/><Relationship Id="rId112" Type="http://schemas.openxmlformats.org/officeDocument/2006/relationships/hyperlink" Target="http://dx.doi.org/10.1016/j.electacta.2007.12.057" TargetMode="External"/><Relationship Id="rId133" Type="http://schemas.openxmlformats.org/officeDocument/2006/relationships/hyperlink" Target="http://dx.doi.org/10.1016/j.electacta.2003.10.019" TargetMode="External"/><Relationship Id="rId154" Type="http://schemas.openxmlformats.org/officeDocument/2006/relationships/hyperlink" Target="http://dx.doi.org/10.1149/1.2234852" TargetMode="External"/><Relationship Id="rId175" Type="http://schemas.openxmlformats.org/officeDocument/2006/relationships/hyperlink" Target="http://dx.doi.org/10.1149/1.2433539" TargetMode="External"/><Relationship Id="rId340" Type="http://schemas.openxmlformats.org/officeDocument/2006/relationships/hyperlink" Target="http://dx.doi.org/10.1016/j.elecom.2009.05.058" TargetMode="External"/><Relationship Id="rId196" Type="http://schemas.openxmlformats.org/officeDocument/2006/relationships/hyperlink" Target="http://dx.doi.org/10.1149/1.1872674" TargetMode="External"/><Relationship Id="rId200" Type="http://schemas.openxmlformats.org/officeDocument/2006/relationships/hyperlink" Target="http://dx.doi.org/10.1149/1.1872674" TargetMode="External"/><Relationship Id="rId16" Type="http://schemas.openxmlformats.org/officeDocument/2006/relationships/hyperlink" Target="http://dx.doi.org/10.1016/j.jpowsour.2008.09.077" TargetMode="External"/><Relationship Id="rId221" Type="http://schemas.openxmlformats.org/officeDocument/2006/relationships/hyperlink" Target="http://dx.doi.org/10.1002/adfm.201000469" TargetMode="External"/><Relationship Id="rId242" Type="http://schemas.openxmlformats.org/officeDocument/2006/relationships/hyperlink" Target="http://dx.doi.org/%2010.1149/1.1393283" TargetMode="External"/><Relationship Id="rId263" Type="http://schemas.openxmlformats.org/officeDocument/2006/relationships/hyperlink" Target="http://dx.doi.org/10.1016/j.jpowsour.2010.03.032" TargetMode="External"/><Relationship Id="rId284" Type="http://schemas.openxmlformats.org/officeDocument/2006/relationships/hyperlink" Target="http://dx.doi.org/10.1016/j.electacta.2011.09.053" TargetMode="External"/><Relationship Id="rId319" Type="http://schemas.openxmlformats.org/officeDocument/2006/relationships/hyperlink" Target="http://dx.doi.org/10.1016/j.electacta.2009.05.048" TargetMode="External"/><Relationship Id="rId37" Type="http://schemas.openxmlformats.org/officeDocument/2006/relationships/hyperlink" Target="http://dx.doi.org/10.1149/1.1805524" TargetMode="External"/><Relationship Id="rId58" Type="http://schemas.openxmlformats.org/officeDocument/2006/relationships/hyperlink" Target="http://dx.doi.org/10.1149/1.2746767" TargetMode="External"/><Relationship Id="rId79" Type="http://schemas.openxmlformats.org/officeDocument/2006/relationships/hyperlink" Target="http://dx.doi.org/10.1149/1.1342168" TargetMode="External"/><Relationship Id="rId102" Type="http://schemas.openxmlformats.org/officeDocument/2006/relationships/hyperlink" Target="http://dx.doi.org/10.1016/j.elecom.2009.01.025" TargetMode="External"/><Relationship Id="rId123" Type="http://schemas.openxmlformats.org/officeDocument/2006/relationships/hyperlink" Target="http://dx.doi.org/10.1021/cm8010925" TargetMode="External"/><Relationship Id="rId144" Type="http://schemas.openxmlformats.org/officeDocument/2006/relationships/hyperlink" Target="http://dx.doi.org/10.1016/j.ssi.2007.07.016" TargetMode="External"/><Relationship Id="rId330" Type="http://schemas.openxmlformats.org/officeDocument/2006/relationships/hyperlink" Target="http://dx.doi.org/10.1149/1.3280289" TargetMode="External"/><Relationship Id="rId90" Type="http://schemas.openxmlformats.org/officeDocument/2006/relationships/hyperlink" Target="http://dx.doi.org/10.1149/1.1429927" TargetMode="External"/><Relationship Id="rId165" Type="http://schemas.openxmlformats.org/officeDocument/2006/relationships/hyperlink" Target="http://dx.doi.org/10.1016/j.jpowsour.2007.06.079" TargetMode="External"/><Relationship Id="rId186" Type="http://schemas.openxmlformats.org/officeDocument/2006/relationships/hyperlink" Target="http://dx.doi.org/10.1039/c2jm31933k" TargetMode="External"/><Relationship Id="rId211" Type="http://schemas.openxmlformats.org/officeDocument/2006/relationships/hyperlink" Target="http://dx.doi.org/10.1038/nmat2245" TargetMode="External"/><Relationship Id="rId232" Type="http://schemas.openxmlformats.org/officeDocument/2006/relationships/hyperlink" Target="http://dx.doi.org/10.1149/1.2006509" TargetMode="External"/><Relationship Id="rId253" Type="http://schemas.openxmlformats.org/officeDocument/2006/relationships/hyperlink" Target="http://dx.doi.org/10.1016/S1388-2481%2802%2900370-3" TargetMode="External"/><Relationship Id="rId274" Type="http://schemas.openxmlformats.org/officeDocument/2006/relationships/hyperlink" Target="http://dx.doi.org/10.1016/j.jpowsour.2009.02.026" TargetMode="External"/><Relationship Id="rId295" Type="http://schemas.openxmlformats.org/officeDocument/2006/relationships/hyperlink" Target="http://dx.doi.org/10.1039/c3ra44415e" TargetMode="External"/><Relationship Id="rId309" Type="http://schemas.openxmlformats.org/officeDocument/2006/relationships/hyperlink" Target="http://dx.doi.org/10.1016/j.jpowsour.2008.10.120" TargetMode="External"/><Relationship Id="rId27" Type="http://schemas.openxmlformats.org/officeDocument/2006/relationships/hyperlink" Target="http://dx.doi.org/10.1016/j.ssi.2006.04.049" TargetMode="External"/><Relationship Id="rId48" Type="http://schemas.openxmlformats.org/officeDocument/2006/relationships/hyperlink" Target="http://dx.doi.org/10.1149/1.2746767" TargetMode="External"/><Relationship Id="rId69" Type="http://schemas.openxmlformats.org/officeDocument/2006/relationships/hyperlink" Target="http://dx.doi.org/10.1149/1.1342168" TargetMode="External"/><Relationship Id="rId113" Type="http://schemas.openxmlformats.org/officeDocument/2006/relationships/hyperlink" Target="http://dx.doi.org/10.1016/j.electacta.2007.12.057" TargetMode="External"/><Relationship Id="rId134" Type="http://schemas.openxmlformats.org/officeDocument/2006/relationships/hyperlink" Target="http://dx.doi.org/10.1016/j.electacta.2003.10.019" TargetMode="External"/><Relationship Id="rId320" Type="http://schemas.openxmlformats.org/officeDocument/2006/relationships/hyperlink" Target="http://dx.doi.org/10.1016/j.electacta.2009.05.048" TargetMode="External"/><Relationship Id="rId80" Type="http://schemas.openxmlformats.org/officeDocument/2006/relationships/hyperlink" Target="http://dx.doi.org/10.1149/1.1775218" TargetMode="External"/><Relationship Id="rId155" Type="http://schemas.openxmlformats.org/officeDocument/2006/relationships/hyperlink" Target="http://dx.doi.org/10.1149/1.2234852" TargetMode="External"/><Relationship Id="rId176" Type="http://schemas.openxmlformats.org/officeDocument/2006/relationships/hyperlink" Target="http://dx.doi.org/10.1002/adma.201102497" TargetMode="External"/><Relationship Id="rId197" Type="http://schemas.openxmlformats.org/officeDocument/2006/relationships/hyperlink" Target="http://dx.doi.org/10.1149/1.1872674" TargetMode="External"/><Relationship Id="rId341" Type="http://schemas.openxmlformats.org/officeDocument/2006/relationships/printerSettings" Target="../printerSettings/printerSettings1.bin"/><Relationship Id="rId201" Type="http://schemas.openxmlformats.org/officeDocument/2006/relationships/hyperlink" Target="http://dx.doi.org/10.1149/1.2844287" TargetMode="External"/><Relationship Id="rId222" Type="http://schemas.openxmlformats.org/officeDocument/2006/relationships/hyperlink" Target="http://dx.doi.org/10.1002/adfm.201000469" TargetMode="External"/><Relationship Id="rId243" Type="http://schemas.openxmlformats.org/officeDocument/2006/relationships/hyperlink" Target="http://dx.doi.org/%2010.1149/1.1393283" TargetMode="External"/><Relationship Id="rId264" Type="http://schemas.openxmlformats.org/officeDocument/2006/relationships/hyperlink" Target="http://dx.doi.org/10.1016/j.jpowsour.2010.03.032" TargetMode="External"/><Relationship Id="rId285" Type="http://schemas.openxmlformats.org/officeDocument/2006/relationships/hyperlink" Target="http://dx.doi.org/10.1149/2.079206jes" TargetMode="External"/><Relationship Id="rId17" Type="http://schemas.openxmlformats.org/officeDocument/2006/relationships/hyperlink" Target="http://dx.doi.org/10.1016/j.jpowsour.2008.09.077" TargetMode="External"/><Relationship Id="rId38" Type="http://schemas.openxmlformats.org/officeDocument/2006/relationships/hyperlink" Target="http://dx.doi.org/10.1149/1.2746767" TargetMode="External"/><Relationship Id="rId59" Type="http://schemas.openxmlformats.org/officeDocument/2006/relationships/hyperlink" Target="http://dx.doi.org/10.1149/1.1342168" TargetMode="External"/><Relationship Id="rId103" Type="http://schemas.openxmlformats.org/officeDocument/2006/relationships/hyperlink" Target="http://dx.doi.org/10.1016/j.elecom.2009.01.025" TargetMode="External"/><Relationship Id="rId124" Type="http://schemas.openxmlformats.org/officeDocument/2006/relationships/hyperlink" Target="http://dx.doi.org/10.1021/cm8010925" TargetMode="External"/><Relationship Id="rId310" Type="http://schemas.openxmlformats.org/officeDocument/2006/relationships/hyperlink" Target="http://dx.doi.org/10.1016/j.jpowsour.2008.10.120" TargetMode="External"/><Relationship Id="rId70" Type="http://schemas.openxmlformats.org/officeDocument/2006/relationships/hyperlink" Target="http://dx.doi.org/10.1149/1.1342168" TargetMode="External"/><Relationship Id="rId91" Type="http://schemas.openxmlformats.org/officeDocument/2006/relationships/hyperlink" Target="http://dx.doi.org/10.1149/1.1456535" TargetMode="External"/><Relationship Id="rId145" Type="http://schemas.openxmlformats.org/officeDocument/2006/relationships/hyperlink" Target="http://dx.doi.org/10.1016/j.ssi.2007.07.016" TargetMode="External"/><Relationship Id="rId166" Type="http://schemas.openxmlformats.org/officeDocument/2006/relationships/hyperlink" Target="http://dx.doi.org/10.1016/j.jpowsour.2007.06.079" TargetMode="External"/><Relationship Id="rId187" Type="http://schemas.openxmlformats.org/officeDocument/2006/relationships/hyperlink" Target="http://dx.doi.org/10.1016/j.elecom.2011.05.006" TargetMode="External"/><Relationship Id="rId331" Type="http://schemas.openxmlformats.org/officeDocument/2006/relationships/hyperlink" Target="http://dx.doi.org/10.1149/1.3280289" TargetMode="External"/><Relationship Id="rId1" Type="http://schemas.openxmlformats.org/officeDocument/2006/relationships/hyperlink" Target="http://dx.doi.org/10.1016/j.jallcom.2013.08.124" TargetMode="External"/><Relationship Id="rId212" Type="http://schemas.openxmlformats.org/officeDocument/2006/relationships/hyperlink" Target="http://dx.doi.org/10.1038/nmat2245" TargetMode="External"/><Relationship Id="rId233" Type="http://schemas.openxmlformats.org/officeDocument/2006/relationships/hyperlink" Target="http://dx.doi.org/10.1149/1.2437072" TargetMode="External"/><Relationship Id="rId254" Type="http://schemas.openxmlformats.org/officeDocument/2006/relationships/hyperlink" Target="http://dx.doi.org/10.1016/S1388-2481%2802%2900370-3" TargetMode="External"/><Relationship Id="rId28" Type="http://schemas.openxmlformats.org/officeDocument/2006/relationships/hyperlink" Target="http://dx.doi.org/10.1149/1.2168288" TargetMode="External"/><Relationship Id="rId49" Type="http://schemas.openxmlformats.org/officeDocument/2006/relationships/hyperlink" Target="http://dx.doi.org/10.1149/1.2746767" TargetMode="External"/><Relationship Id="rId114" Type="http://schemas.openxmlformats.org/officeDocument/2006/relationships/hyperlink" Target="http://dx.doi.org/10.1016/j.electacta.2007.12.057" TargetMode="External"/><Relationship Id="rId275" Type="http://schemas.openxmlformats.org/officeDocument/2006/relationships/hyperlink" Target="http://dx.doi.org/10.1016/j.jpowsour.2009.02.026" TargetMode="External"/><Relationship Id="rId296" Type="http://schemas.openxmlformats.org/officeDocument/2006/relationships/hyperlink" Target="http://dx.doi.org/10.1039/c3ra42897d" TargetMode="External"/><Relationship Id="rId300" Type="http://schemas.openxmlformats.org/officeDocument/2006/relationships/hyperlink" Target="http://dx.doi.org/10.1039/c2jm35026b" TargetMode="External"/><Relationship Id="rId60" Type="http://schemas.openxmlformats.org/officeDocument/2006/relationships/hyperlink" Target="http://dx.doi.org/10.1149/1.1342168" TargetMode="External"/><Relationship Id="rId81" Type="http://schemas.openxmlformats.org/officeDocument/2006/relationships/hyperlink" Target="http://dx.doi.org/10.1149/1.1775218" TargetMode="External"/><Relationship Id="rId135" Type="http://schemas.openxmlformats.org/officeDocument/2006/relationships/hyperlink" Target="http://dx.doi.org/10.1016/j.electacta.2003.10.019" TargetMode="External"/><Relationship Id="rId156" Type="http://schemas.openxmlformats.org/officeDocument/2006/relationships/hyperlink" Target="http://dx.doi.org/10.1149/1.1489686" TargetMode="External"/><Relationship Id="rId177" Type="http://schemas.openxmlformats.org/officeDocument/2006/relationships/hyperlink" Target="http://dx.doi.org/10.1002/adma.201102497" TargetMode="External"/><Relationship Id="rId198" Type="http://schemas.openxmlformats.org/officeDocument/2006/relationships/hyperlink" Target="http://dx.doi.org/10.1149/1.1872674" TargetMode="External"/><Relationship Id="rId321" Type="http://schemas.openxmlformats.org/officeDocument/2006/relationships/hyperlink" Target="http://dx.doi.org/10.1016/j.electacta.2009.05.048" TargetMode="External"/><Relationship Id="rId202" Type="http://schemas.openxmlformats.org/officeDocument/2006/relationships/hyperlink" Target="http://dx.doi.org/10.1149/1.2844287" TargetMode="External"/><Relationship Id="rId223" Type="http://schemas.openxmlformats.org/officeDocument/2006/relationships/hyperlink" Target="http://dx.doi.org/10.1002/adfm.201000469" TargetMode="External"/><Relationship Id="rId244" Type="http://schemas.openxmlformats.org/officeDocument/2006/relationships/hyperlink" Target="http://dx.doi.org/10.1016/%2010.1149/1.2085950" TargetMode="External"/><Relationship Id="rId18" Type="http://schemas.openxmlformats.org/officeDocument/2006/relationships/hyperlink" Target="http://dx.doi.org/10.1149/1.1413182" TargetMode="External"/><Relationship Id="rId39" Type="http://schemas.openxmlformats.org/officeDocument/2006/relationships/hyperlink" Target="http://dx.doi.org/10.1149/1.2746767" TargetMode="External"/><Relationship Id="rId265" Type="http://schemas.openxmlformats.org/officeDocument/2006/relationships/hyperlink" Target="http://dx.doi.org/10.1016/j.jpowsour.2009.02.026" TargetMode="External"/><Relationship Id="rId286" Type="http://schemas.openxmlformats.org/officeDocument/2006/relationships/hyperlink" Target="http://dx.doi.org/10.1149/2.079206jes" TargetMode="External"/><Relationship Id="rId50" Type="http://schemas.openxmlformats.org/officeDocument/2006/relationships/hyperlink" Target="http://dx.doi.org/10.1149/1.2746767" TargetMode="External"/><Relationship Id="rId104" Type="http://schemas.openxmlformats.org/officeDocument/2006/relationships/hyperlink" Target="http://dx.doi.org/10.1016/j.elecom.2009.01.025" TargetMode="External"/><Relationship Id="rId125" Type="http://schemas.openxmlformats.org/officeDocument/2006/relationships/hyperlink" Target="http://dx.doi.org/10.1021/cm8010925" TargetMode="External"/><Relationship Id="rId146" Type="http://schemas.openxmlformats.org/officeDocument/2006/relationships/hyperlink" Target="http://dx.doi.org/10.1021/nl8024328" TargetMode="External"/><Relationship Id="rId167" Type="http://schemas.openxmlformats.org/officeDocument/2006/relationships/hyperlink" Target="http://dx.doi.org/10.1016/j.jpowsour.2007.06.079" TargetMode="External"/><Relationship Id="rId188" Type="http://schemas.openxmlformats.org/officeDocument/2006/relationships/hyperlink" Target="http://dx.doi.org/10.1016/j.elecom.2011.05.006" TargetMode="External"/><Relationship Id="rId311" Type="http://schemas.openxmlformats.org/officeDocument/2006/relationships/hyperlink" Target="http://dx.doi.org/10.1016/j.jpowsour.2009.06.042" TargetMode="External"/><Relationship Id="rId332" Type="http://schemas.openxmlformats.org/officeDocument/2006/relationships/hyperlink" Target="http://dx.doi.org/10.1149/1.3280289" TargetMode="External"/><Relationship Id="rId71" Type="http://schemas.openxmlformats.org/officeDocument/2006/relationships/hyperlink" Target="http://dx.doi.org/10.1149/1.1342168" TargetMode="External"/><Relationship Id="rId92" Type="http://schemas.openxmlformats.org/officeDocument/2006/relationships/hyperlink" Target="http://dx.doi.org/10.1149/1.1456535" TargetMode="External"/><Relationship Id="rId213" Type="http://schemas.openxmlformats.org/officeDocument/2006/relationships/hyperlink" Target="http://dx.doi.org/10.1016/j.ssi.2007.10.015" TargetMode="External"/><Relationship Id="rId234" Type="http://schemas.openxmlformats.org/officeDocument/2006/relationships/hyperlink" Target="http://dx.doi.org/10.1149/1.2437072" TargetMode="External"/><Relationship Id="rId2" Type="http://schemas.openxmlformats.org/officeDocument/2006/relationships/hyperlink" Target="http://dx.doi.org/155.97.234.93" TargetMode="External"/><Relationship Id="rId29" Type="http://schemas.openxmlformats.org/officeDocument/2006/relationships/hyperlink" Target="http://dx.doi.org/10.1038/nmat2007" TargetMode="External"/><Relationship Id="rId255" Type="http://schemas.openxmlformats.org/officeDocument/2006/relationships/hyperlink" Target="http://dx.doi.org/10.1016/S1388-2481%2802%2900370-3" TargetMode="External"/><Relationship Id="rId276" Type="http://schemas.openxmlformats.org/officeDocument/2006/relationships/hyperlink" Target="http://dx.doi.org/10.1016/j.jpowsour.2009.02.026" TargetMode="External"/><Relationship Id="rId297" Type="http://schemas.openxmlformats.org/officeDocument/2006/relationships/hyperlink" Target="http://dx.doi.org/dx.doi.org/10.1021/nl1030198" TargetMode="External"/><Relationship Id="rId40" Type="http://schemas.openxmlformats.org/officeDocument/2006/relationships/hyperlink" Target="http://dx.doi.org/10.1149/1.2746767" TargetMode="External"/><Relationship Id="rId115" Type="http://schemas.openxmlformats.org/officeDocument/2006/relationships/hyperlink" Target="http://dx.doi.org/%2010.1039/B806662K" TargetMode="External"/><Relationship Id="rId136" Type="http://schemas.openxmlformats.org/officeDocument/2006/relationships/hyperlink" Target="http://dx.doi.org/10.1016/j.electacta.2003.10.019" TargetMode="External"/><Relationship Id="rId157" Type="http://schemas.openxmlformats.org/officeDocument/2006/relationships/hyperlink" Target="http://dx.doi.org/10.1149/1.1489686" TargetMode="External"/><Relationship Id="rId178" Type="http://schemas.openxmlformats.org/officeDocument/2006/relationships/hyperlink" Target="http://dx.doi.org/10.1039/c0jm01635g" TargetMode="External"/><Relationship Id="rId301" Type="http://schemas.openxmlformats.org/officeDocument/2006/relationships/hyperlink" Target="http://dx.doi.org/10.1039/c2jm35026b" TargetMode="External"/><Relationship Id="rId322" Type="http://schemas.openxmlformats.org/officeDocument/2006/relationships/hyperlink" Target="http://dx.doi.org/10.1016/j.electacta.2009.05.048" TargetMode="External"/><Relationship Id="rId61" Type="http://schemas.openxmlformats.org/officeDocument/2006/relationships/hyperlink" Target="http://dx.doi.org/10.1149/1.1342168" TargetMode="External"/><Relationship Id="rId82" Type="http://schemas.openxmlformats.org/officeDocument/2006/relationships/hyperlink" Target="http://dx.doi.org/10.1149/1.1954927" TargetMode="External"/><Relationship Id="rId199" Type="http://schemas.openxmlformats.org/officeDocument/2006/relationships/hyperlink" Target="http://dx.doi.org/10.1149/1.1872674" TargetMode="External"/><Relationship Id="rId203" Type="http://schemas.openxmlformats.org/officeDocument/2006/relationships/hyperlink" Target="http://dx.doi.org/10.1149/1.2844287" TargetMode="External"/><Relationship Id="rId19" Type="http://schemas.openxmlformats.org/officeDocument/2006/relationships/hyperlink" Target="http://dx.doi.org/10.1149/1.1413182" TargetMode="External"/><Relationship Id="rId224" Type="http://schemas.openxmlformats.org/officeDocument/2006/relationships/hyperlink" Target="http://dx.doi.org/10.1149/1.1990068" TargetMode="External"/><Relationship Id="rId245" Type="http://schemas.openxmlformats.org/officeDocument/2006/relationships/hyperlink" Target="http://dx.doi.org/10.1016/%2010.1149/1.2085950" TargetMode="External"/><Relationship Id="rId266" Type="http://schemas.openxmlformats.org/officeDocument/2006/relationships/hyperlink" Target="http://dx.doi.org/10.1016/j.jpowsour.2009.02.026" TargetMode="External"/><Relationship Id="rId287" Type="http://schemas.openxmlformats.org/officeDocument/2006/relationships/hyperlink" Target="http://dx.doi.org/10.1149/2.079206jes" TargetMode="External"/><Relationship Id="rId30" Type="http://schemas.openxmlformats.org/officeDocument/2006/relationships/hyperlink" Target="http://dx.doi.org/10.1016/S0378-7753(03)00170-8" TargetMode="External"/><Relationship Id="rId105" Type="http://schemas.openxmlformats.org/officeDocument/2006/relationships/hyperlink" Target="http://dx.doi.org/10.1149/1.1601228" TargetMode="External"/><Relationship Id="rId126" Type="http://schemas.openxmlformats.org/officeDocument/2006/relationships/hyperlink" Target="http://dx.doi.org/10.1021/cm8010925" TargetMode="External"/><Relationship Id="rId147" Type="http://schemas.openxmlformats.org/officeDocument/2006/relationships/hyperlink" Target="http://dx.doi.org/10.1016/j.jpowsour.2007.02.066" TargetMode="External"/><Relationship Id="rId168" Type="http://schemas.openxmlformats.org/officeDocument/2006/relationships/hyperlink" Target="http://dx.doi.org/10.1016/j.jpowsour.2007.06.079" TargetMode="External"/><Relationship Id="rId312" Type="http://schemas.openxmlformats.org/officeDocument/2006/relationships/hyperlink" Target="http://dx.doi.org/10.1016/j.ssi.2008.03.014" TargetMode="External"/><Relationship Id="rId333" Type="http://schemas.openxmlformats.org/officeDocument/2006/relationships/hyperlink" Target="http://dx.doi.org/10.1149/1.3280289" TargetMode="External"/><Relationship Id="rId51" Type="http://schemas.openxmlformats.org/officeDocument/2006/relationships/hyperlink" Target="http://dx.doi.org/10.1149/1.2746767" TargetMode="External"/><Relationship Id="rId72" Type="http://schemas.openxmlformats.org/officeDocument/2006/relationships/hyperlink" Target="http://dx.doi.org/10.1149/1.1342168" TargetMode="External"/><Relationship Id="rId93" Type="http://schemas.openxmlformats.org/officeDocument/2006/relationships/hyperlink" Target="http://dx.doi.org/10.1149/1.1775218" TargetMode="External"/><Relationship Id="rId189" Type="http://schemas.openxmlformats.org/officeDocument/2006/relationships/hyperlink" Target="http://dx.doi.org/10.1016/j.elecom.2011.05.006" TargetMode="External"/><Relationship Id="rId3" Type="http://schemas.openxmlformats.org/officeDocument/2006/relationships/hyperlink" Target="http://dx.doi.org/10.1149/1.1413182" TargetMode="External"/><Relationship Id="rId214" Type="http://schemas.openxmlformats.org/officeDocument/2006/relationships/hyperlink" Target="http://dx.doi.org/10.1016/j.electacta.2012.03.080" TargetMode="External"/><Relationship Id="rId235" Type="http://schemas.openxmlformats.org/officeDocument/2006/relationships/hyperlink" Target="http://dx.doi.org/10.1149/1.2437072" TargetMode="External"/><Relationship Id="rId256" Type="http://schemas.openxmlformats.org/officeDocument/2006/relationships/hyperlink" Target="http://dx.doi.org/10.1016/S0378-7753%2802%2900169-6" TargetMode="External"/><Relationship Id="rId277" Type="http://schemas.openxmlformats.org/officeDocument/2006/relationships/hyperlink" Target="http://dx.doi.org/10.1016/j.jpowsour.2009.02.026" TargetMode="External"/><Relationship Id="rId298" Type="http://schemas.openxmlformats.org/officeDocument/2006/relationships/hyperlink" Target="http://dx.doi.org/dx.doi.org/10.1021/nl1030198" TargetMode="External"/><Relationship Id="rId116" Type="http://schemas.openxmlformats.org/officeDocument/2006/relationships/hyperlink" Target="http://dx.doi.org/10.1016/j.electacta.2007.12.057" TargetMode="External"/><Relationship Id="rId137" Type="http://schemas.openxmlformats.org/officeDocument/2006/relationships/hyperlink" Target="http://dx.doi.org/10.1016/j.electacta.2003.10.019" TargetMode="External"/><Relationship Id="rId158" Type="http://schemas.openxmlformats.org/officeDocument/2006/relationships/hyperlink" Target="http://dx.doi.org/10.1039/c3cc42172d" TargetMode="External"/><Relationship Id="rId302" Type="http://schemas.openxmlformats.org/officeDocument/2006/relationships/hyperlink" Target="http://dx.doi.org/10.1007/s10008-007-0373-6" TargetMode="External"/><Relationship Id="rId323" Type="http://schemas.openxmlformats.org/officeDocument/2006/relationships/hyperlink" Target="http://dx.doi.org/10.1016/j.jpowsour.2009.11.029" TargetMode="External"/><Relationship Id="rId20" Type="http://schemas.openxmlformats.org/officeDocument/2006/relationships/hyperlink" Target="http://dx.doi.org/10.1016/S0378-7753(03)00245-3" TargetMode="External"/><Relationship Id="rId41" Type="http://schemas.openxmlformats.org/officeDocument/2006/relationships/hyperlink" Target="http://dx.doi.org/10.1149/1.2746767" TargetMode="External"/><Relationship Id="rId62" Type="http://schemas.openxmlformats.org/officeDocument/2006/relationships/hyperlink" Target="http://dx.doi.org/10.1149/1.1342168" TargetMode="External"/><Relationship Id="rId83" Type="http://schemas.openxmlformats.org/officeDocument/2006/relationships/hyperlink" Target="http://dx.doi.org/10.1149/1.1954927" TargetMode="External"/><Relationship Id="rId179" Type="http://schemas.openxmlformats.org/officeDocument/2006/relationships/hyperlink" Target="http://dx.doi.org/10.5012/bkcs.2010.31.6.1506" TargetMode="External"/><Relationship Id="rId190" Type="http://schemas.openxmlformats.org/officeDocument/2006/relationships/hyperlink" Target="http://dx.doi.org/10.1016/j.elecom.2011.05.006" TargetMode="External"/><Relationship Id="rId204" Type="http://schemas.openxmlformats.org/officeDocument/2006/relationships/hyperlink" Target="http://dx.doi.org/10.1149/1.2844287" TargetMode="External"/><Relationship Id="rId225" Type="http://schemas.openxmlformats.org/officeDocument/2006/relationships/hyperlink" Target="http://dx.doi.org/10.1149/1.1990068" TargetMode="External"/><Relationship Id="rId246" Type="http://schemas.openxmlformats.org/officeDocument/2006/relationships/hyperlink" Target="http://dx.doi.org/10.1016/S0378-7753%2801%2900692-9" TargetMode="External"/><Relationship Id="rId267" Type="http://schemas.openxmlformats.org/officeDocument/2006/relationships/hyperlink" Target="http://dx.doi.org/10.1016/j.jpowsour.2009.02.026" TargetMode="External"/><Relationship Id="rId288" Type="http://schemas.openxmlformats.org/officeDocument/2006/relationships/hyperlink" Target="http://dx.doi.org/10.1149/1.2956088" TargetMode="External"/><Relationship Id="rId106" Type="http://schemas.openxmlformats.org/officeDocument/2006/relationships/hyperlink" Target="http://dx.doi.org/10.1149/1.1601228" TargetMode="External"/><Relationship Id="rId127" Type="http://schemas.openxmlformats.org/officeDocument/2006/relationships/hyperlink" Target="http://dx.doi.org/10.1016/j.electacta.2003.10.019" TargetMode="External"/><Relationship Id="rId313" Type="http://schemas.openxmlformats.org/officeDocument/2006/relationships/hyperlink" Target="http://dx.doi.org/10.1007/s10800-008-9589-0" TargetMode="External"/><Relationship Id="rId10" Type="http://schemas.openxmlformats.org/officeDocument/2006/relationships/hyperlink" Target="http://dx.doi.org/10.1149/1.1505633" TargetMode="External"/><Relationship Id="rId31" Type="http://schemas.openxmlformats.org/officeDocument/2006/relationships/hyperlink" Target="http://dx.doi.org/10.1149/1.1805524" TargetMode="External"/><Relationship Id="rId52" Type="http://schemas.openxmlformats.org/officeDocument/2006/relationships/hyperlink" Target="http://dx.doi.org/10.1149/1.2746767" TargetMode="External"/><Relationship Id="rId73" Type="http://schemas.openxmlformats.org/officeDocument/2006/relationships/hyperlink" Target="http://dx.doi.org/10.1149/1.1342168" TargetMode="External"/><Relationship Id="rId94" Type="http://schemas.openxmlformats.org/officeDocument/2006/relationships/hyperlink" Target="http://dx.doi.org/10.1149/1.1407994" TargetMode="External"/><Relationship Id="rId148" Type="http://schemas.openxmlformats.org/officeDocument/2006/relationships/hyperlink" Target="http://dx.doi.org/10.1016/j.jpowsour.2007.02.066" TargetMode="External"/><Relationship Id="rId169" Type="http://schemas.openxmlformats.org/officeDocument/2006/relationships/hyperlink" Target="http://dx.doi.org/10.1016/j.jpowsour.2007.06.079" TargetMode="External"/><Relationship Id="rId334" Type="http://schemas.openxmlformats.org/officeDocument/2006/relationships/hyperlink" Target="http://dx.doi.org/10.1149/1.3280289" TargetMode="External"/><Relationship Id="rId4" Type="http://schemas.openxmlformats.org/officeDocument/2006/relationships/hyperlink" Target="http://dx.doi.org/10.1149/1.1413182" TargetMode="External"/><Relationship Id="rId180" Type="http://schemas.openxmlformats.org/officeDocument/2006/relationships/hyperlink" Target="http://dx.doi.org/10.5012/bkcs.2010.31.6.1506" TargetMode="External"/><Relationship Id="rId215" Type="http://schemas.openxmlformats.org/officeDocument/2006/relationships/hyperlink" Target="http://dx.doi.org/10.1016/j.electacta.2012.03.080" TargetMode="External"/><Relationship Id="rId236" Type="http://schemas.openxmlformats.org/officeDocument/2006/relationships/hyperlink" Target="http://dx.doi.org/10.1149/1.2437072" TargetMode="External"/><Relationship Id="rId257" Type="http://schemas.openxmlformats.org/officeDocument/2006/relationships/hyperlink" Target="http://dx.doi.org/10.1016/S0378-7753%2802%2900169-6" TargetMode="External"/><Relationship Id="rId278" Type="http://schemas.openxmlformats.org/officeDocument/2006/relationships/hyperlink" Target="http://dx.doi.org/10.1016/j.jpowsour.2009.02.026" TargetMode="External"/><Relationship Id="rId303" Type="http://schemas.openxmlformats.org/officeDocument/2006/relationships/hyperlink" Target="http://dx.doi.org/10.1007/s10008-007-0373-6" TargetMode="External"/><Relationship Id="rId42" Type="http://schemas.openxmlformats.org/officeDocument/2006/relationships/hyperlink" Target="http://dx.doi.org/10.1149/1.2746767" TargetMode="External"/><Relationship Id="rId84" Type="http://schemas.openxmlformats.org/officeDocument/2006/relationships/hyperlink" Target="http://dx.doi.org/10.1149/1.1954927" TargetMode="External"/><Relationship Id="rId138" Type="http://schemas.openxmlformats.org/officeDocument/2006/relationships/hyperlink" Target="http://dx.doi.org/10.1016/j.electacta.2003.10.019" TargetMode="External"/><Relationship Id="rId191" Type="http://schemas.openxmlformats.org/officeDocument/2006/relationships/hyperlink" Target="http://dx.doi.org/10.1016/j.elecom.2011.05.006" TargetMode="External"/><Relationship Id="rId205" Type="http://schemas.openxmlformats.org/officeDocument/2006/relationships/hyperlink" Target="http://dx.doi.org/10.1038/NMAT2590" TargetMode="External"/><Relationship Id="rId247" Type="http://schemas.openxmlformats.org/officeDocument/2006/relationships/hyperlink" Target="http://dx.doi.org/10.1016/S0378-7753%2801%2900692-9" TargetMode="External"/><Relationship Id="rId107" Type="http://schemas.openxmlformats.org/officeDocument/2006/relationships/hyperlink" Target="http://dx.doi.org/10.1149/1.1601228" TargetMode="External"/><Relationship Id="rId289" Type="http://schemas.openxmlformats.org/officeDocument/2006/relationships/hyperlink" Target="http://dx.doi.org/10.1149/2.079206jes" TargetMode="External"/><Relationship Id="rId11" Type="http://schemas.openxmlformats.org/officeDocument/2006/relationships/hyperlink" Target="http://dx.doi.org/10.1149/1.1505633" TargetMode="External"/><Relationship Id="rId53" Type="http://schemas.openxmlformats.org/officeDocument/2006/relationships/hyperlink" Target="http://dx.doi.org/10.1149/1.2746767" TargetMode="External"/><Relationship Id="rId149" Type="http://schemas.openxmlformats.org/officeDocument/2006/relationships/hyperlink" Target="http://dx.doi.org/10.1016/j.jpowsour.2007.02.066" TargetMode="External"/><Relationship Id="rId314" Type="http://schemas.openxmlformats.org/officeDocument/2006/relationships/hyperlink" Target="http://dx.doi.org/10.1007/s10800-008-9589-0" TargetMode="External"/><Relationship Id="rId95" Type="http://schemas.openxmlformats.org/officeDocument/2006/relationships/hyperlink" Target="http://dx.doi.org/10.1016/S0167-2738(03)00106-1" TargetMode="External"/><Relationship Id="rId160" Type="http://schemas.openxmlformats.org/officeDocument/2006/relationships/hyperlink" Target="http://dx.doi.org/10.1016/j.electacta.2008.11.069" TargetMode="External"/><Relationship Id="rId216" Type="http://schemas.openxmlformats.org/officeDocument/2006/relationships/hyperlink" Target="http://dx.doi.org/10.1002/adfm.201000469" TargetMode="External"/><Relationship Id="rId258" Type="http://schemas.openxmlformats.org/officeDocument/2006/relationships/hyperlink" Target="http://dx.doi.org/10.1016/%2010.1149/1.2085950" TargetMode="External"/><Relationship Id="rId22" Type="http://schemas.openxmlformats.org/officeDocument/2006/relationships/hyperlink" Target="http://dx.doi.org/10.1016/S0378-7753(03)00245-3" TargetMode="External"/><Relationship Id="rId64" Type="http://schemas.openxmlformats.org/officeDocument/2006/relationships/hyperlink" Target="http://dx.doi.org/10.1149/1.1342168" TargetMode="External"/><Relationship Id="rId118" Type="http://schemas.openxmlformats.org/officeDocument/2006/relationships/hyperlink" Target="http://dx.doi.org/10.1016/j.electacta.2007.12.057" TargetMode="External"/><Relationship Id="rId325" Type="http://schemas.openxmlformats.org/officeDocument/2006/relationships/hyperlink" Target="http://dx.doi.org/10.1016/j.jpowsour.2009.11.029" TargetMode="External"/><Relationship Id="rId171" Type="http://schemas.openxmlformats.org/officeDocument/2006/relationships/hyperlink" Target="http://dx.doi.org/10.1021/cm063011l" TargetMode="External"/><Relationship Id="rId227" Type="http://schemas.openxmlformats.org/officeDocument/2006/relationships/hyperlink" Target="http://dx.doi.org/10.1149/1.3298353" TargetMode="External"/><Relationship Id="rId269" Type="http://schemas.openxmlformats.org/officeDocument/2006/relationships/hyperlink" Target="http://dx.doi.org/10.1016/j.jpowsour.2009.02.026" TargetMode="External"/><Relationship Id="rId33" Type="http://schemas.openxmlformats.org/officeDocument/2006/relationships/hyperlink" Target="http://dx.doi.org/10.1149/1.1805524" TargetMode="External"/><Relationship Id="rId129" Type="http://schemas.openxmlformats.org/officeDocument/2006/relationships/hyperlink" Target="http://dx.doi.org/10.1149/1.1611731" TargetMode="External"/><Relationship Id="rId280" Type="http://schemas.openxmlformats.org/officeDocument/2006/relationships/hyperlink" Target="http://dx.doi.org/10.1016/j.jpowsour.2009.02.026" TargetMode="External"/><Relationship Id="rId336" Type="http://schemas.openxmlformats.org/officeDocument/2006/relationships/hyperlink" Target="http://dx.doi.org/10.1149/1.3280289" TargetMode="External"/><Relationship Id="rId75" Type="http://schemas.openxmlformats.org/officeDocument/2006/relationships/hyperlink" Target="http://dx.doi.org/10.1149/1.1342168" TargetMode="External"/><Relationship Id="rId140" Type="http://schemas.openxmlformats.org/officeDocument/2006/relationships/hyperlink" Target="http://dx.doi.org/10.1016/j.electacta.2003.10.019" TargetMode="External"/><Relationship Id="rId182" Type="http://schemas.openxmlformats.org/officeDocument/2006/relationships/hyperlink" Target="http://dx.doi.org/10.1039/c2jm31933k" TargetMode="External"/><Relationship Id="rId6" Type="http://schemas.openxmlformats.org/officeDocument/2006/relationships/hyperlink" Target="http://dx.doi.org/10.1149/1.1505633" TargetMode="External"/><Relationship Id="rId238" Type="http://schemas.openxmlformats.org/officeDocument/2006/relationships/hyperlink" Target="http://dx.doi.org/10.1016/%2010.1149/1.2085950" TargetMode="External"/><Relationship Id="rId291" Type="http://schemas.openxmlformats.org/officeDocument/2006/relationships/hyperlink" Target="http://dx.doi.org/10.1149/2.079206jes" TargetMode="External"/><Relationship Id="rId305" Type="http://schemas.openxmlformats.org/officeDocument/2006/relationships/hyperlink" Target="http://dx.doi.org/10.1007/s10008-007-0373-6" TargetMode="External"/><Relationship Id="rId44" Type="http://schemas.openxmlformats.org/officeDocument/2006/relationships/hyperlink" Target="http://dx.doi.org/10.1149/1.2746767" TargetMode="External"/><Relationship Id="rId86" Type="http://schemas.openxmlformats.org/officeDocument/2006/relationships/hyperlink" Target="http://dx.doi.org/10.1149/1.1954927" TargetMode="External"/><Relationship Id="rId151" Type="http://schemas.openxmlformats.org/officeDocument/2006/relationships/hyperlink" Target="http://dx.doi.org/10.1016/j.jpowsour.2007.02.066" TargetMode="External"/><Relationship Id="rId193" Type="http://schemas.openxmlformats.org/officeDocument/2006/relationships/hyperlink" Target="http://dx.doi.org/10.1016/j.elecom.2011.05.006" TargetMode="External"/><Relationship Id="rId207" Type="http://schemas.openxmlformats.org/officeDocument/2006/relationships/hyperlink" Target="http://dx.doi.org/10.1002/aenm.201000049" TargetMode="External"/><Relationship Id="rId249" Type="http://schemas.openxmlformats.org/officeDocument/2006/relationships/hyperlink" Target="http://dx.doi.org/10.1016/S1388-2481%2802%2900370-3" TargetMode="External"/><Relationship Id="rId13" Type="http://schemas.openxmlformats.org/officeDocument/2006/relationships/hyperlink" Target="http://dx.doi.org/10.1149/1.1505633" TargetMode="External"/><Relationship Id="rId109" Type="http://schemas.openxmlformats.org/officeDocument/2006/relationships/hyperlink" Target="http://dx.doi.org/10.1021/cm0511769" TargetMode="External"/><Relationship Id="rId260" Type="http://schemas.openxmlformats.org/officeDocument/2006/relationships/hyperlink" Target="http://dx.doi.org/10.1016/j.jallcom.2013.08.124" TargetMode="External"/><Relationship Id="rId316" Type="http://schemas.openxmlformats.org/officeDocument/2006/relationships/hyperlink" Target="http://dx.doi.org/10.1007/s10800-008-9589-0" TargetMode="External"/><Relationship Id="rId55" Type="http://schemas.openxmlformats.org/officeDocument/2006/relationships/hyperlink" Target="http://dx.doi.org/10.1149/1.2746767" TargetMode="External"/><Relationship Id="rId97" Type="http://schemas.openxmlformats.org/officeDocument/2006/relationships/hyperlink" Target="http://dx.doi.org/10.1149/1.1407994" TargetMode="External"/><Relationship Id="rId120" Type="http://schemas.openxmlformats.org/officeDocument/2006/relationships/hyperlink" Target="http://dx.doi.org/10.1016/j.electacta.2007.12.057" TargetMode="External"/><Relationship Id="rId162" Type="http://schemas.openxmlformats.org/officeDocument/2006/relationships/hyperlink" Target="http://dx.doi.org/10.1016/j.electacta.2008.11.069" TargetMode="External"/><Relationship Id="rId218" Type="http://schemas.openxmlformats.org/officeDocument/2006/relationships/hyperlink" Target="http://dx.doi.org/10.1002/adfm.201000469" TargetMode="External"/><Relationship Id="rId271" Type="http://schemas.openxmlformats.org/officeDocument/2006/relationships/hyperlink" Target="http://dx.doi.org/10.1016/j.jpowsour.2009.02.026" TargetMode="External"/><Relationship Id="rId24" Type="http://schemas.openxmlformats.org/officeDocument/2006/relationships/hyperlink" Target="http://dx.doi.org/10.1149/1.1609998" TargetMode="External"/><Relationship Id="rId66" Type="http://schemas.openxmlformats.org/officeDocument/2006/relationships/hyperlink" Target="http://dx.doi.org/10.1149/1.1342168" TargetMode="External"/><Relationship Id="rId131" Type="http://schemas.openxmlformats.org/officeDocument/2006/relationships/hyperlink" Target="http://dx.doi.org/10.1149/1.1611731" TargetMode="External"/><Relationship Id="rId327" Type="http://schemas.openxmlformats.org/officeDocument/2006/relationships/hyperlink" Target="http://dx.doi.org/10.1016/j.jpowsour.2009.11.029" TargetMode="External"/><Relationship Id="rId173" Type="http://schemas.openxmlformats.org/officeDocument/2006/relationships/hyperlink" Target="http://dx.doi.org/10.1149/1.2433539" TargetMode="External"/><Relationship Id="rId229" Type="http://schemas.openxmlformats.org/officeDocument/2006/relationships/hyperlink" Target="http://dx.doi.org/10.1149/1.20065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50"/>
  <sheetViews>
    <sheetView tabSelected="1" zoomScaleNormal="100" workbookViewId="0">
      <pane ySplit="1" topLeftCell="A2" activePane="bottomLeft" state="frozen"/>
      <selection pane="bottomLeft" activeCell="B1" sqref="B1:AU1048576"/>
    </sheetView>
  </sheetViews>
  <sheetFormatPr baseColWidth="10" defaultColWidth="9.1640625" defaultRowHeight="15" x14ac:dyDescent="0.2"/>
  <cols>
    <col min="1" max="1" width="28" style="4" customWidth="1"/>
    <col min="2" max="5" width="20.6640625" style="4" customWidth="1"/>
    <col min="6" max="7" width="15.83203125" style="11" customWidth="1"/>
    <col min="8" max="17" width="20.6640625" style="4" customWidth="1"/>
    <col min="18" max="18" width="20.6640625" style="7" customWidth="1"/>
    <col min="19" max="19" width="20.6640625" style="4" customWidth="1"/>
    <col min="20" max="20" width="14.6640625" style="4" customWidth="1"/>
    <col min="21" max="21" width="20.6640625" style="4" customWidth="1"/>
    <col min="22" max="22" width="33.6640625" style="4" customWidth="1"/>
    <col min="23" max="23" width="7.5" style="4" customWidth="1"/>
    <col min="24" max="24" width="3.5" style="4" customWidth="1"/>
    <col min="25" max="25" width="12.5" style="4" customWidth="1"/>
    <col min="26" max="26" width="8.1640625" style="4" customWidth="1"/>
    <col min="27" max="27" width="31.83203125" style="4" customWidth="1"/>
    <col min="28" max="28" width="7.6640625" style="4" customWidth="1"/>
    <col min="29" max="29" width="19.33203125" style="4" customWidth="1"/>
    <col min="30" max="30" width="39.5" style="4" customWidth="1"/>
    <col min="31" max="32" width="11.83203125" style="11" customWidth="1"/>
    <col min="33" max="33" width="11.83203125" style="4" customWidth="1"/>
    <col min="34" max="34" width="12.5" style="4" customWidth="1"/>
    <col min="35" max="36" width="11.6640625" style="4" customWidth="1"/>
    <col min="37" max="37" width="8.33203125" style="4" customWidth="1"/>
    <col min="38" max="38" width="18" style="4" customWidth="1"/>
    <col min="39" max="39" width="13.83203125" style="4" customWidth="1"/>
    <col min="40" max="40" width="9.5" style="7" customWidth="1"/>
    <col min="41" max="41" width="6.6640625" style="4" customWidth="1"/>
    <col min="42" max="42" width="6.6640625" style="15" customWidth="1"/>
    <col min="43" max="43" width="6.6640625" style="4" customWidth="1"/>
    <col min="44" max="44" width="7.1640625" style="7" customWidth="1"/>
    <col min="45" max="45" width="15.1640625" style="7" customWidth="1"/>
    <col min="46" max="46" width="8" style="7" customWidth="1"/>
    <col min="47" max="47" width="9" style="7" customWidth="1"/>
    <col min="48" max="48" width="6.6640625" style="4" customWidth="1"/>
    <col min="49" max="50" width="20.6640625" style="7" customWidth="1"/>
    <col min="51" max="58" width="20.6640625" style="4" customWidth="1"/>
    <col min="59" max="59" width="20.6640625" style="7" customWidth="1"/>
    <col min="60" max="60" width="20.6640625" style="4" customWidth="1"/>
    <col min="61" max="16384" width="9.1640625" style="4"/>
  </cols>
  <sheetData>
    <row r="1" spans="1:60" x14ac:dyDescent="0.2">
      <c r="A1" s="4" t="s">
        <v>0</v>
      </c>
      <c r="B1" s="4" t="s">
        <v>1</v>
      </c>
      <c r="C1" s="4" t="s">
        <v>166</v>
      </c>
      <c r="D1" s="4" t="s">
        <v>171</v>
      </c>
      <c r="E1" s="4" t="s">
        <v>661</v>
      </c>
      <c r="F1" s="11" t="s">
        <v>809</v>
      </c>
      <c r="H1" s="4" t="s">
        <v>583</v>
      </c>
      <c r="I1" s="4" t="s">
        <v>584</v>
      </c>
      <c r="J1" s="4" t="s">
        <v>585</v>
      </c>
      <c r="K1" s="4" t="s">
        <v>586</v>
      </c>
      <c r="L1" s="4" t="s">
        <v>587</v>
      </c>
      <c r="M1" s="4" t="s">
        <v>588</v>
      </c>
      <c r="N1" s="4" t="s">
        <v>589</v>
      </c>
      <c r="O1" s="4" t="s">
        <v>590</v>
      </c>
      <c r="P1" s="4" t="s">
        <v>184</v>
      </c>
      <c r="Q1" s="4" t="s">
        <v>806</v>
      </c>
      <c r="R1" s="7" t="s">
        <v>662</v>
      </c>
      <c r="S1" s="4" t="s">
        <v>707</v>
      </c>
      <c r="T1" s="4" t="s">
        <v>204</v>
      </c>
      <c r="U1" s="4" t="s">
        <v>282</v>
      </c>
      <c r="V1" s="4" t="s">
        <v>6</v>
      </c>
      <c r="W1" s="9" t="s">
        <v>45</v>
      </c>
      <c r="X1" s="9"/>
      <c r="Y1" s="4" t="s">
        <v>2</v>
      </c>
      <c r="Z1" s="4" t="s">
        <v>7</v>
      </c>
      <c r="AA1" s="4" t="s">
        <v>3</v>
      </c>
      <c r="AB1" s="4" t="s">
        <v>8</v>
      </c>
      <c r="AC1" s="4" t="s">
        <v>13</v>
      </c>
      <c r="AD1" s="4" t="s">
        <v>14</v>
      </c>
      <c r="AE1" s="11" t="s">
        <v>808</v>
      </c>
      <c r="AF1" s="11" t="s">
        <v>809</v>
      </c>
      <c r="AG1" s="4" t="s">
        <v>810</v>
      </c>
      <c r="AH1" s="4" t="s">
        <v>9</v>
      </c>
      <c r="AI1" s="4" t="s">
        <v>16</v>
      </c>
      <c r="AJ1" s="4" t="s">
        <v>16</v>
      </c>
      <c r="AK1" s="4" t="s">
        <v>17</v>
      </c>
      <c r="AL1" s="4" t="s">
        <v>19</v>
      </c>
      <c r="AM1" s="4" t="s">
        <v>33</v>
      </c>
      <c r="AN1" s="7" t="s">
        <v>20</v>
      </c>
      <c r="AO1" s="4" t="s">
        <v>21</v>
      </c>
      <c r="AP1" s="15" t="s">
        <v>622</v>
      </c>
      <c r="AQ1" s="4" t="s">
        <v>623</v>
      </c>
      <c r="AR1" s="7" t="s">
        <v>275</v>
      </c>
      <c r="AS1" s="7" t="s">
        <v>276</v>
      </c>
      <c r="AT1" s="7" t="s">
        <v>657</v>
      </c>
      <c r="AU1" s="7" t="s">
        <v>658</v>
      </c>
      <c r="AV1" s="4" t="s">
        <v>71</v>
      </c>
      <c r="AW1" s="7" t="s">
        <v>389</v>
      </c>
      <c r="AX1" s="7" t="s">
        <v>388</v>
      </c>
      <c r="AY1" s="4" t="s">
        <v>183</v>
      </c>
      <c r="AZ1" s="4" t="s">
        <v>66</v>
      </c>
      <c r="BA1" s="4" t="s">
        <v>25</v>
      </c>
      <c r="BB1" s="4" t="s">
        <v>103</v>
      </c>
      <c r="BC1" s="4" t="s">
        <v>225</v>
      </c>
      <c r="BD1" s="4" t="s">
        <v>24</v>
      </c>
      <c r="BE1" s="4" t="s">
        <v>30</v>
      </c>
      <c r="BF1" s="4" t="s">
        <v>26</v>
      </c>
      <c r="BG1" s="7" t="s">
        <v>802</v>
      </c>
      <c r="BH1" s="4" t="s">
        <v>811</v>
      </c>
    </row>
    <row r="2" spans="1:60" ht="17.25" customHeight="1" x14ac:dyDescent="0.2">
      <c r="A2" s="4">
        <v>21</v>
      </c>
      <c r="B2" s="4" t="s">
        <v>11</v>
      </c>
      <c r="D2" s="4" t="s">
        <v>210</v>
      </c>
      <c r="F2" s="12"/>
      <c r="G2" s="12"/>
      <c r="V2" s="4">
        <v>3</v>
      </c>
      <c r="Y2" s="4" t="s">
        <v>12</v>
      </c>
      <c r="Z2" s="4">
        <v>1</v>
      </c>
      <c r="AA2" s="4" t="s">
        <v>77</v>
      </c>
      <c r="AB2" s="4">
        <v>4</v>
      </c>
      <c r="AC2" s="4" t="s">
        <v>545</v>
      </c>
      <c r="AD2" s="6" t="s">
        <v>544</v>
      </c>
      <c r="AE2" s="12"/>
      <c r="AF2" s="12"/>
      <c r="AG2" s="6"/>
      <c r="AH2" s="4" t="s">
        <v>23</v>
      </c>
      <c r="AI2" s="4">
        <v>0.7</v>
      </c>
      <c r="AJ2" s="4">
        <v>3.7</v>
      </c>
      <c r="AL2" s="4" t="s">
        <v>43</v>
      </c>
      <c r="AM2" s="10" t="s">
        <v>44</v>
      </c>
      <c r="AS2" s="7">
        <f t="shared" ref="AS2:AS22" si="0">AW2/AV2</f>
        <v>1.9670329670329671E-2</v>
      </c>
      <c r="AV2" s="4">
        <v>273</v>
      </c>
      <c r="AW2" s="7">
        <v>5.37</v>
      </c>
      <c r="AX2" s="7">
        <v>10.75</v>
      </c>
      <c r="AY2" s="4">
        <v>90</v>
      </c>
      <c r="AZ2" s="4">
        <v>81</v>
      </c>
      <c r="BA2" s="4">
        <v>81</v>
      </c>
      <c r="BB2" s="4">
        <v>80</v>
      </c>
      <c r="BD2" s="4">
        <f>BA2/AY2</f>
        <v>0.9</v>
      </c>
      <c r="BE2" s="4">
        <v>0.18</v>
      </c>
      <c r="BH2" s="4" t="s">
        <v>39</v>
      </c>
    </row>
    <row r="3" spans="1:60" s="1" customFormat="1" ht="19.5" customHeight="1" x14ac:dyDescent="0.2">
      <c r="A3" s="1">
        <v>55</v>
      </c>
      <c r="B3" s="1" t="s">
        <v>11</v>
      </c>
      <c r="D3" s="1" t="s">
        <v>210</v>
      </c>
      <c r="F3" s="13"/>
      <c r="G3" s="13"/>
      <c r="R3" s="3"/>
      <c r="V3" s="1">
        <v>3</v>
      </c>
      <c r="Y3" s="1" t="s">
        <v>12</v>
      </c>
      <c r="Z3" s="1">
        <v>1</v>
      </c>
      <c r="AA3" s="1" t="s">
        <v>77</v>
      </c>
      <c r="AB3" s="1">
        <v>4</v>
      </c>
      <c r="AC3" s="1" t="s">
        <v>545</v>
      </c>
      <c r="AD3" s="5" t="s">
        <v>544</v>
      </c>
      <c r="AE3" s="13"/>
      <c r="AF3" s="13"/>
      <c r="AG3" s="5"/>
      <c r="AH3" s="1" t="s">
        <v>23</v>
      </c>
      <c r="AI3" s="1">
        <v>0.7</v>
      </c>
      <c r="AJ3" s="1">
        <v>3.7</v>
      </c>
      <c r="AL3" s="1" t="s">
        <v>43</v>
      </c>
      <c r="AM3" s="2" t="s">
        <v>44</v>
      </c>
      <c r="AN3" s="3"/>
      <c r="AP3" s="15"/>
      <c r="AR3" s="3"/>
      <c r="AS3" s="3">
        <f t="shared" si="0"/>
        <v>1.9670329670329671E-2</v>
      </c>
      <c r="AT3" s="3"/>
      <c r="AU3" s="3"/>
      <c r="AV3" s="1">
        <v>273</v>
      </c>
      <c r="AW3" s="3">
        <v>5.37</v>
      </c>
      <c r="AX3" s="3">
        <v>10.75</v>
      </c>
      <c r="AY3" s="1">
        <v>91</v>
      </c>
      <c r="AZ3" s="1">
        <v>85</v>
      </c>
      <c r="BA3" s="1">
        <v>84</v>
      </c>
      <c r="BB3" s="1">
        <v>82</v>
      </c>
      <c r="BD3" s="1">
        <f t="shared" ref="BD3:BD13" si="1">BA3/AY3</f>
        <v>0.92307692307692313</v>
      </c>
      <c r="BE3" s="1">
        <v>0.28000000000000003</v>
      </c>
      <c r="BG3" s="3"/>
      <c r="BH3" s="1" t="s">
        <v>39</v>
      </c>
    </row>
    <row r="4" spans="1:60" ht="17.25" customHeight="1" x14ac:dyDescent="0.2">
      <c r="A4" s="4">
        <v>55</v>
      </c>
      <c r="B4" s="4" t="s">
        <v>11</v>
      </c>
      <c r="D4" s="4" t="s">
        <v>210</v>
      </c>
      <c r="F4" s="12"/>
      <c r="G4" s="12"/>
      <c r="V4" s="4">
        <v>3</v>
      </c>
      <c r="Y4" s="4" t="s">
        <v>12</v>
      </c>
      <c r="Z4" s="4">
        <v>1</v>
      </c>
      <c r="AA4" s="4" t="s">
        <v>77</v>
      </c>
      <c r="AB4" s="4">
        <v>4</v>
      </c>
      <c r="AC4" s="4" t="s">
        <v>545</v>
      </c>
      <c r="AD4" s="6" t="s">
        <v>544</v>
      </c>
      <c r="AE4" s="12"/>
      <c r="AF4" s="12"/>
      <c r="AG4" s="6"/>
      <c r="AH4" s="4" t="s">
        <v>23</v>
      </c>
      <c r="AI4" s="4">
        <v>0.7</v>
      </c>
      <c r="AJ4" s="4">
        <v>3.85</v>
      </c>
      <c r="AL4" s="4" t="s">
        <v>43</v>
      </c>
      <c r="AM4" s="10" t="s">
        <v>44</v>
      </c>
      <c r="AS4" s="7">
        <f t="shared" si="0"/>
        <v>1.9670329670329671E-2</v>
      </c>
      <c r="AV4" s="4">
        <v>273</v>
      </c>
      <c r="AW4" s="7">
        <v>5.37</v>
      </c>
      <c r="AX4" s="7">
        <v>10.75</v>
      </c>
      <c r="AY4" s="4">
        <v>107</v>
      </c>
      <c r="AZ4" s="4">
        <v>95</v>
      </c>
      <c r="BA4" s="4">
        <v>93</v>
      </c>
      <c r="BB4" s="4">
        <v>83</v>
      </c>
      <c r="BD4" s="4">
        <f t="shared" si="1"/>
        <v>0.86915887850467288</v>
      </c>
      <c r="BE4" s="4">
        <v>0.28000000000000003</v>
      </c>
      <c r="BH4" s="4" t="s">
        <v>39</v>
      </c>
    </row>
    <row r="5" spans="1:60" s="1" customFormat="1" ht="19.5" customHeight="1" x14ac:dyDescent="0.2">
      <c r="A5" s="1">
        <v>55</v>
      </c>
      <c r="B5" s="1" t="s">
        <v>11</v>
      </c>
      <c r="D5" s="1" t="s">
        <v>210</v>
      </c>
      <c r="F5" s="13"/>
      <c r="G5" s="13"/>
      <c r="R5" s="3"/>
      <c r="V5" s="1">
        <v>3</v>
      </c>
      <c r="Y5" s="1" t="s">
        <v>12</v>
      </c>
      <c r="Z5" s="1">
        <v>1</v>
      </c>
      <c r="AA5" s="1" t="s">
        <v>77</v>
      </c>
      <c r="AB5" s="1">
        <v>4</v>
      </c>
      <c r="AC5" s="1" t="s">
        <v>545</v>
      </c>
      <c r="AD5" s="5" t="s">
        <v>544</v>
      </c>
      <c r="AE5" s="13"/>
      <c r="AF5" s="13"/>
      <c r="AG5" s="5"/>
      <c r="AH5" s="1" t="s">
        <v>23</v>
      </c>
      <c r="AI5" s="1">
        <v>0.7</v>
      </c>
      <c r="AJ5" s="1">
        <v>4</v>
      </c>
      <c r="AL5" s="1" t="s">
        <v>43</v>
      </c>
      <c r="AM5" s="2" t="s">
        <v>44</v>
      </c>
      <c r="AN5" s="3"/>
      <c r="AP5" s="15"/>
      <c r="AR5" s="3"/>
      <c r="AS5" s="3">
        <f t="shared" si="0"/>
        <v>1.9670329670329671E-2</v>
      </c>
      <c r="AT5" s="3"/>
      <c r="AU5" s="3"/>
      <c r="AV5" s="1">
        <v>273</v>
      </c>
      <c r="AW5" s="3">
        <v>5.37</v>
      </c>
      <c r="AX5" s="3">
        <v>10.75</v>
      </c>
      <c r="AY5" s="1">
        <v>129</v>
      </c>
      <c r="AZ5" s="1">
        <v>95</v>
      </c>
      <c r="BA5" s="1">
        <v>86</v>
      </c>
      <c r="BB5" s="1">
        <v>57</v>
      </c>
      <c r="BD5" s="1">
        <f t="shared" si="1"/>
        <v>0.66666666666666663</v>
      </c>
      <c r="BE5" s="1">
        <v>0.86</v>
      </c>
      <c r="BG5" s="3"/>
      <c r="BH5" s="1" t="s">
        <v>39</v>
      </c>
    </row>
    <row r="6" spans="1:60" ht="17.25" customHeight="1" x14ac:dyDescent="0.2">
      <c r="A6" s="4" t="s">
        <v>167</v>
      </c>
      <c r="B6" s="4" t="s">
        <v>48</v>
      </c>
      <c r="C6" s="4" t="s">
        <v>554</v>
      </c>
      <c r="D6" s="4" t="s">
        <v>210</v>
      </c>
      <c r="E6" s="4">
        <f>AVERAGE(H6:J6)</f>
        <v>2.7166666666666663</v>
      </c>
      <c r="F6" s="12"/>
      <c r="G6" s="12">
        <f>AVERAGE(H6:O6)</f>
        <v>2.6941666666666664</v>
      </c>
      <c r="H6" s="4">
        <v>2.5</v>
      </c>
      <c r="I6" s="4">
        <v>2.77</v>
      </c>
      <c r="J6" s="4">
        <v>2.88</v>
      </c>
      <c r="K6" s="4">
        <f>AVERAGE(O6,E6)</f>
        <v>2.6966666666666668</v>
      </c>
      <c r="L6" s="4">
        <v>2.5</v>
      </c>
      <c r="M6" s="4">
        <v>2.73</v>
      </c>
      <c r="N6" s="4">
        <v>2.8</v>
      </c>
      <c r="O6" s="4">
        <f>AVERAGE(L6:N6)</f>
        <v>2.6766666666666672</v>
      </c>
      <c r="P6" s="4" t="s">
        <v>663</v>
      </c>
      <c r="Q6" s="4">
        <v>0.66</v>
      </c>
      <c r="S6" s="4" t="s">
        <v>664</v>
      </c>
      <c r="V6" s="4">
        <v>4</v>
      </c>
      <c r="W6" s="4" t="s">
        <v>50</v>
      </c>
      <c r="Y6" s="4" t="s">
        <v>15</v>
      </c>
      <c r="Z6" s="4">
        <v>2</v>
      </c>
      <c r="AA6" s="4" t="s">
        <v>536</v>
      </c>
      <c r="AB6" s="4">
        <v>1</v>
      </c>
      <c r="AC6" s="4" t="s">
        <v>47</v>
      </c>
      <c r="AD6" s="6" t="s">
        <v>46</v>
      </c>
      <c r="AE6" s="12" t="s">
        <v>815</v>
      </c>
      <c r="AF6" s="12"/>
      <c r="AG6" s="6"/>
      <c r="AH6" s="4" t="s">
        <v>23</v>
      </c>
      <c r="AI6" s="4">
        <v>1.5</v>
      </c>
      <c r="AJ6" s="4">
        <v>4</v>
      </c>
      <c r="AK6" s="4" t="s">
        <v>36</v>
      </c>
      <c r="AL6" s="4" t="s">
        <v>18</v>
      </c>
      <c r="AM6" s="10"/>
      <c r="AO6" s="4" t="s">
        <v>22</v>
      </c>
      <c r="AP6" s="15">
        <v>50</v>
      </c>
      <c r="AQ6" s="4">
        <v>1</v>
      </c>
      <c r="AS6" s="7">
        <f t="shared" si="0"/>
        <v>2.6881720430107525</v>
      </c>
      <c r="AV6" s="4">
        <v>372</v>
      </c>
      <c r="AW6" s="7">
        <v>1000</v>
      </c>
      <c r="AX6" s="7">
        <v>1000</v>
      </c>
      <c r="AY6" s="4">
        <v>118</v>
      </c>
      <c r="AZ6" s="4">
        <v>98</v>
      </c>
      <c r="BA6" s="4">
        <v>108</v>
      </c>
      <c r="BB6" s="4">
        <v>121</v>
      </c>
      <c r="BD6" s="4">
        <f t="shared" si="1"/>
        <v>0.9152542372881356</v>
      </c>
      <c r="BE6" s="4" t="s">
        <v>34</v>
      </c>
      <c r="BH6" s="4" t="s">
        <v>812</v>
      </c>
    </row>
    <row r="7" spans="1:60" s="1" customFormat="1" ht="19.5" customHeight="1" x14ac:dyDescent="0.2">
      <c r="A7" s="1" t="s">
        <v>167</v>
      </c>
      <c r="B7" s="1" t="s">
        <v>552</v>
      </c>
      <c r="C7" s="1" t="s">
        <v>555</v>
      </c>
      <c r="D7" s="1" t="s">
        <v>210</v>
      </c>
      <c r="F7" s="13"/>
      <c r="G7" s="12" t="e">
        <f t="shared" ref="G7:G70" si="2">AVERAGE(H7:O7)</f>
        <v>#DIV/0!</v>
      </c>
      <c r="Q7" s="1">
        <v>0.24</v>
      </c>
      <c r="R7" s="3"/>
      <c r="S7" s="1" t="s">
        <v>664</v>
      </c>
      <c r="V7" s="1">
        <v>4</v>
      </c>
      <c r="W7" s="1" t="s">
        <v>50</v>
      </c>
      <c r="Y7" s="1" t="s">
        <v>15</v>
      </c>
      <c r="Z7" s="1">
        <v>2</v>
      </c>
      <c r="AA7" s="1" t="s">
        <v>536</v>
      </c>
      <c r="AB7" s="1">
        <v>1</v>
      </c>
      <c r="AC7" s="1" t="s">
        <v>47</v>
      </c>
      <c r="AD7" s="5" t="s">
        <v>46</v>
      </c>
      <c r="AE7" s="13"/>
      <c r="AF7" s="13"/>
      <c r="AG7" s="5"/>
      <c r="AH7" s="1" t="s">
        <v>23</v>
      </c>
      <c r="AI7" s="1">
        <v>1.5</v>
      </c>
      <c r="AJ7" s="1">
        <v>4</v>
      </c>
      <c r="AK7" s="1" t="s">
        <v>36</v>
      </c>
      <c r="AL7" s="1" t="s">
        <v>18</v>
      </c>
      <c r="AM7" s="2"/>
      <c r="AN7" s="3"/>
      <c r="AO7" s="1" t="s">
        <v>22</v>
      </c>
      <c r="AP7" s="15">
        <v>50</v>
      </c>
      <c r="AR7" s="3"/>
      <c r="AS7" s="3">
        <f t="shared" si="0"/>
        <v>2.6881720430107525</v>
      </c>
      <c r="AT7" s="3"/>
      <c r="AU7" s="3"/>
      <c r="AV7" s="1">
        <v>372</v>
      </c>
      <c r="AW7" s="3">
        <v>1000</v>
      </c>
      <c r="AX7" s="3">
        <v>1000</v>
      </c>
      <c r="AY7" s="1">
        <v>136</v>
      </c>
      <c r="AZ7" s="1">
        <v>59</v>
      </c>
      <c r="BA7" s="1">
        <v>48</v>
      </c>
      <c r="BB7" s="1">
        <v>33</v>
      </c>
      <c r="BD7" s="1">
        <f t="shared" si="1"/>
        <v>0.35294117647058826</v>
      </c>
      <c r="BE7" s="1" t="s">
        <v>34</v>
      </c>
      <c r="BG7" s="3"/>
      <c r="BH7" s="1" t="s">
        <v>812</v>
      </c>
    </row>
    <row r="8" spans="1:60" ht="17.25" customHeight="1" x14ac:dyDescent="0.2">
      <c r="A8" s="4" t="s">
        <v>167</v>
      </c>
      <c r="B8" s="4" t="s">
        <v>48</v>
      </c>
      <c r="C8" s="4" t="s">
        <v>556</v>
      </c>
      <c r="D8" s="4" t="s">
        <v>210</v>
      </c>
      <c r="F8" s="12">
        <v>2.5</v>
      </c>
      <c r="G8" s="12" t="e">
        <f t="shared" si="2"/>
        <v>#DIV/0!</v>
      </c>
      <c r="Q8" s="4">
        <v>0.66</v>
      </c>
      <c r="S8" s="4" t="s">
        <v>664</v>
      </c>
      <c r="V8" s="4">
        <v>4</v>
      </c>
      <c r="W8" s="4" t="s">
        <v>50</v>
      </c>
      <c r="Y8" s="4" t="s">
        <v>15</v>
      </c>
      <c r="Z8" s="4">
        <v>2</v>
      </c>
      <c r="AA8" s="4" t="s">
        <v>536</v>
      </c>
      <c r="AB8" s="4">
        <v>1</v>
      </c>
      <c r="AC8" s="4" t="s">
        <v>47</v>
      </c>
      <c r="AD8" s="6" t="s">
        <v>46</v>
      </c>
      <c r="AE8" s="12" t="s">
        <v>815</v>
      </c>
      <c r="AF8" s="12">
        <v>2.5</v>
      </c>
      <c r="AG8" s="6"/>
      <c r="AH8" s="4" t="s">
        <v>23</v>
      </c>
      <c r="AI8" s="4">
        <v>1.5</v>
      </c>
      <c r="AJ8" s="4">
        <v>4</v>
      </c>
      <c r="AK8" s="4" t="s">
        <v>36</v>
      </c>
      <c r="AL8" s="4" t="s">
        <v>18</v>
      </c>
      <c r="AM8" s="10"/>
      <c r="AO8" s="4" t="s">
        <v>22</v>
      </c>
      <c r="AP8" s="15">
        <v>50</v>
      </c>
      <c r="AQ8" s="4">
        <v>1</v>
      </c>
      <c r="AS8" s="7">
        <f t="shared" si="0"/>
        <v>0.26881720430107525</v>
      </c>
      <c r="AV8" s="4">
        <v>372</v>
      </c>
      <c r="AW8" s="7">
        <v>100</v>
      </c>
      <c r="AX8" s="7">
        <v>100</v>
      </c>
      <c r="AY8" s="4">
        <v>188</v>
      </c>
      <c r="AZ8" s="4">
        <v>205</v>
      </c>
      <c r="BA8" s="4">
        <v>203</v>
      </c>
      <c r="BD8" s="4">
        <f t="shared" si="1"/>
        <v>1.0797872340425532</v>
      </c>
      <c r="BE8" s="4" t="s">
        <v>34</v>
      </c>
      <c r="BG8" s="7">
        <v>1</v>
      </c>
      <c r="BH8" s="4" t="s">
        <v>812</v>
      </c>
    </row>
    <row r="9" spans="1:60" s="1" customFormat="1" ht="19.5" customHeight="1" x14ac:dyDescent="0.2">
      <c r="A9" s="1" t="s">
        <v>167</v>
      </c>
      <c r="B9" s="1" t="s">
        <v>261</v>
      </c>
      <c r="C9" s="1" t="s">
        <v>238</v>
      </c>
      <c r="D9" s="1" t="s">
        <v>210</v>
      </c>
      <c r="F9" s="13"/>
      <c r="G9" s="12">
        <f t="shared" si="2"/>
        <v>4.3</v>
      </c>
      <c r="H9" s="1">
        <v>4</v>
      </c>
      <c r="I9" s="1">
        <v>4.5999999999999996</v>
      </c>
      <c r="L9" s="1">
        <v>4</v>
      </c>
      <c r="M9" s="1">
        <v>4.5999999999999996</v>
      </c>
      <c r="R9" s="3"/>
      <c r="V9" s="1">
        <v>2</v>
      </c>
      <c r="W9" s="1" t="s">
        <v>50</v>
      </c>
      <c r="Y9" s="1" t="s">
        <v>15</v>
      </c>
      <c r="Z9" s="1">
        <v>2</v>
      </c>
      <c r="AA9" s="1" t="s">
        <v>27</v>
      </c>
      <c r="AB9" s="1">
        <v>1</v>
      </c>
      <c r="AC9" s="1" t="s">
        <v>553</v>
      </c>
      <c r="AD9" s="5" t="s">
        <v>51</v>
      </c>
      <c r="AE9" s="13" t="s">
        <v>820</v>
      </c>
      <c r="AF9" s="13"/>
      <c r="AG9" s="5"/>
      <c r="AH9" s="1" t="s">
        <v>23</v>
      </c>
      <c r="AI9" s="1">
        <v>3</v>
      </c>
      <c r="AJ9" s="1">
        <v>4.8</v>
      </c>
      <c r="AM9" s="2"/>
      <c r="AN9" s="3" t="s">
        <v>28</v>
      </c>
      <c r="AO9" s="1" t="s">
        <v>29</v>
      </c>
      <c r="AP9" s="15"/>
      <c r="AR9" s="3"/>
      <c r="AS9" s="3">
        <f t="shared" si="0"/>
        <v>1.3698630136986301</v>
      </c>
      <c r="AT9" s="3">
        <f>7+55*1.5+59*0.5+64</f>
        <v>183</v>
      </c>
      <c r="AU9" s="3">
        <f>96485.3/3600/AT9</f>
        <v>0.14645613236187008</v>
      </c>
      <c r="AV9" s="1">
        <v>146</v>
      </c>
      <c r="AW9" s="3">
        <v>200</v>
      </c>
      <c r="AX9" s="3">
        <v>200</v>
      </c>
      <c r="AY9" s="1">
        <v>139</v>
      </c>
      <c r="AZ9" s="1">
        <v>139</v>
      </c>
      <c r="BA9" s="1">
        <v>127</v>
      </c>
      <c r="BD9" s="1">
        <f t="shared" si="1"/>
        <v>0.91366906474820142</v>
      </c>
      <c r="BE9" s="1">
        <v>0.18</v>
      </c>
      <c r="BG9" s="3"/>
    </row>
    <row r="10" spans="1:60" ht="17.25" customHeight="1" x14ac:dyDescent="0.2">
      <c r="A10" s="4" t="s">
        <v>167</v>
      </c>
      <c r="B10" s="4" t="s">
        <v>49</v>
      </c>
      <c r="C10" s="4" t="s">
        <v>238</v>
      </c>
      <c r="D10" s="4" t="s">
        <v>210</v>
      </c>
      <c r="F10" s="12">
        <v>4.1100000000000003</v>
      </c>
      <c r="G10" s="12" t="e">
        <f t="shared" si="2"/>
        <v>#DIV/0!</v>
      </c>
      <c r="V10" s="4">
        <v>2</v>
      </c>
      <c r="W10" s="4" t="s">
        <v>50</v>
      </c>
      <c r="Y10" s="4" t="s">
        <v>15</v>
      </c>
      <c r="Z10" s="4">
        <v>2</v>
      </c>
      <c r="AA10" s="4" t="s">
        <v>27</v>
      </c>
      <c r="AB10" s="4">
        <v>1</v>
      </c>
      <c r="AC10" s="4" t="s">
        <v>553</v>
      </c>
      <c r="AD10" s="6" t="s">
        <v>51</v>
      </c>
      <c r="AE10" s="12" t="s">
        <v>820</v>
      </c>
      <c r="AF10" s="12">
        <v>4.1100000000000003</v>
      </c>
      <c r="AG10" s="6"/>
      <c r="AH10" s="4" t="s">
        <v>23</v>
      </c>
      <c r="AI10" s="4">
        <v>3</v>
      </c>
      <c r="AJ10" s="4">
        <v>4.8</v>
      </c>
      <c r="AM10" s="10"/>
      <c r="AN10" s="7" t="s">
        <v>28</v>
      </c>
      <c r="AO10" s="4" t="s">
        <v>29</v>
      </c>
      <c r="AS10" s="7">
        <f t="shared" si="0"/>
        <v>1.3793103448275863</v>
      </c>
      <c r="AT10" s="7">
        <f>7+55*1.5+59*0.46+0.04*103+64</f>
        <v>184.76</v>
      </c>
      <c r="AU10" s="7">
        <f>96485.3/3600/AT10</f>
        <v>0.14506101007914171</v>
      </c>
      <c r="AV10" s="4">
        <v>145</v>
      </c>
      <c r="AW10" s="7">
        <v>200</v>
      </c>
      <c r="AX10" s="7">
        <v>200</v>
      </c>
      <c r="AY10" s="4">
        <v>153</v>
      </c>
      <c r="AZ10" s="4">
        <v>150</v>
      </c>
      <c r="BA10" s="4">
        <v>144</v>
      </c>
      <c r="BD10" s="4">
        <f t="shared" si="1"/>
        <v>0.94117647058823528</v>
      </c>
      <c r="BE10" s="4">
        <v>0.18</v>
      </c>
      <c r="BG10" s="7">
        <f>153/163</f>
        <v>0.93865030674846628</v>
      </c>
    </row>
    <row r="11" spans="1:60" s="1" customFormat="1" ht="19.5" customHeight="1" x14ac:dyDescent="0.2">
      <c r="A11" s="1">
        <v>30</v>
      </c>
      <c r="B11" s="1" t="s">
        <v>65</v>
      </c>
      <c r="D11" s="1" t="s">
        <v>210</v>
      </c>
      <c r="F11" s="13">
        <v>3.76</v>
      </c>
      <c r="G11" s="12">
        <f t="shared" si="2"/>
        <v>3.8</v>
      </c>
      <c r="H11" s="1">
        <v>3.8</v>
      </c>
      <c r="L11" s="1">
        <v>3.8</v>
      </c>
      <c r="R11" s="3"/>
      <c r="V11" s="1">
        <v>1</v>
      </c>
      <c r="W11" s="1" t="s">
        <v>111</v>
      </c>
      <c r="Y11" s="1" t="s">
        <v>15</v>
      </c>
      <c r="Z11" s="1">
        <v>2</v>
      </c>
      <c r="AA11" s="1" t="s">
        <v>55</v>
      </c>
      <c r="AB11" s="1">
        <v>1</v>
      </c>
      <c r="AC11" s="1" t="s">
        <v>222</v>
      </c>
      <c r="AD11" s="5" t="s">
        <v>53</v>
      </c>
      <c r="AE11" s="13" t="s">
        <v>825</v>
      </c>
      <c r="AF11" s="13">
        <v>3.76</v>
      </c>
      <c r="AG11" s="5"/>
      <c r="AH11" s="1" t="s">
        <v>23</v>
      </c>
      <c r="AI11" s="1">
        <v>2.5</v>
      </c>
      <c r="AJ11" s="1">
        <v>4.4000000000000004</v>
      </c>
      <c r="AL11" s="1" t="s">
        <v>31</v>
      </c>
      <c r="AM11" s="2" t="s">
        <v>32</v>
      </c>
      <c r="AN11" s="3" t="s">
        <v>35</v>
      </c>
      <c r="AO11" s="1" t="s">
        <v>37</v>
      </c>
      <c r="AP11" s="15"/>
      <c r="AR11" s="3"/>
      <c r="AS11" s="3">
        <f t="shared" si="0"/>
        <v>0.14492753623188406</v>
      </c>
      <c r="AT11" s="3">
        <f>7+58.7*0.25+58.9*0.5+0.25*54.9+32</f>
        <v>96.85</v>
      </c>
      <c r="AU11" s="3">
        <f t="shared" ref="AU11:AU28" si="3">96485.3/3600/AT11</f>
        <v>0.276731773074055</v>
      </c>
      <c r="AV11" s="1">
        <v>276</v>
      </c>
      <c r="AW11" s="3">
        <v>40</v>
      </c>
      <c r="AX11" s="3">
        <v>40</v>
      </c>
      <c r="AY11" s="1">
        <v>166</v>
      </c>
      <c r="AZ11" s="1">
        <v>156</v>
      </c>
      <c r="BD11" s="1">
        <f t="shared" si="1"/>
        <v>0</v>
      </c>
      <c r="BE11" s="1" t="s">
        <v>42</v>
      </c>
      <c r="BF11" s="1">
        <v>100</v>
      </c>
      <c r="BG11" s="3">
        <f>166/177</f>
        <v>0.93785310734463279</v>
      </c>
    </row>
    <row r="12" spans="1:60" ht="17.25" customHeight="1" x14ac:dyDescent="0.2">
      <c r="A12" s="4">
        <v>30</v>
      </c>
      <c r="B12" s="4" t="s">
        <v>64</v>
      </c>
      <c r="D12" s="4" t="s">
        <v>210</v>
      </c>
      <c r="F12" s="12">
        <v>3.77</v>
      </c>
      <c r="G12" s="12" t="e">
        <f t="shared" si="2"/>
        <v>#DIV/0!</v>
      </c>
      <c r="V12" s="4">
        <v>3</v>
      </c>
      <c r="W12" s="4" t="s">
        <v>111</v>
      </c>
      <c r="Y12" s="4" t="s">
        <v>15</v>
      </c>
      <c r="Z12" s="4">
        <v>2</v>
      </c>
      <c r="AA12" s="4" t="s">
        <v>55</v>
      </c>
      <c r="AB12" s="4">
        <v>1</v>
      </c>
      <c r="AC12" s="4" t="s">
        <v>222</v>
      </c>
      <c r="AD12" s="6" t="s">
        <v>53</v>
      </c>
      <c r="AE12" s="13" t="s">
        <v>825</v>
      </c>
      <c r="AF12" s="12">
        <v>3.77</v>
      </c>
      <c r="AG12" s="6"/>
      <c r="AH12" s="4" t="s">
        <v>23</v>
      </c>
      <c r="AI12" s="4">
        <v>2.5</v>
      </c>
      <c r="AJ12" s="4">
        <v>4.4000000000000004</v>
      </c>
      <c r="AL12" s="4" t="s">
        <v>31</v>
      </c>
      <c r="AM12" s="10" t="s">
        <v>32</v>
      </c>
      <c r="AN12" s="7" t="s">
        <v>38</v>
      </c>
      <c r="AO12" s="4" t="s">
        <v>40</v>
      </c>
      <c r="AS12" s="7">
        <f t="shared" si="0"/>
        <v>0.14388489208633093</v>
      </c>
      <c r="AT12" s="7">
        <f>7+58.7*0.375+58.9*0.25+0.375*54.9+32</f>
        <v>96.325000000000003</v>
      </c>
      <c r="AU12" s="7">
        <f t="shared" si="3"/>
        <v>0.2782400438330882</v>
      </c>
      <c r="AV12" s="4">
        <v>278</v>
      </c>
      <c r="AW12" s="7">
        <v>40</v>
      </c>
      <c r="AX12" s="7">
        <v>40</v>
      </c>
      <c r="AY12" s="4">
        <v>163</v>
      </c>
      <c r="AZ12" s="4">
        <v>152</v>
      </c>
      <c r="BA12" s="4">
        <v>142</v>
      </c>
      <c r="BD12" s="4">
        <f t="shared" si="1"/>
        <v>0.87116564417177911</v>
      </c>
      <c r="BE12" s="4">
        <v>0.42</v>
      </c>
      <c r="BF12" s="4">
        <v>100</v>
      </c>
      <c r="BG12" s="7">
        <v>0.90555555555555556</v>
      </c>
    </row>
    <row r="13" spans="1:60" s="1" customFormat="1" ht="19.5" customHeight="1" x14ac:dyDescent="0.2">
      <c r="A13" s="1">
        <v>55</v>
      </c>
      <c r="B13" s="1" t="s">
        <v>64</v>
      </c>
      <c r="D13" s="1" t="s">
        <v>210</v>
      </c>
      <c r="F13" s="13"/>
      <c r="G13" s="12" t="e">
        <f t="shared" si="2"/>
        <v>#DIV/0!</v>
      </c>
      <c r="R13" s="3"/>
      <c r="V13" s="1">
        <v>3</v>
      </c>
      <c r="W13" s="1" t="s">
        <v>111</v>
      </c>
      <c r="Y13" s="1" t="s">
        <v>15</v>
      </c>
      <c r="Z13" s="1">
        <v>2</v>
      </c>
      <c r="AA13" s="1" t="s">
        <v>55</v>
      </c>
      <c r="AB13" s="1">
        <v>1</v>
      </c>
      <c r="AC13" s="1" t="s">
        <v>222</v>
      </c>
      <c r="AD13" s="5" t="s">
        <v>53</v>
      </c>
      <c r="AE13" s="13" t="s">
        <v>825</v>
      </c>
      <c r="AF13" s="13"/>
      <c r="AG13" s="5"/>
      <c r="AH13" s="1" t="s">
        <v>23</v>
      </c>
      <c r="AI13" s="1">
        <v>2.5</v>
      </c>
      <c r="AJ13" s="1">
        <v>4.4000000000000004</v>
      </c>
      <c r="AL13" s="1" t="s">
        <v>31</v>
      </c>
      <c r="AM13" s="2" t="s">
        <v>32</v>
      </c>
      <c r="AN13" s="3" t="s">
        <v>41</v>
      </c>
      <c r="AO13" s="1" t="s">
        <v>40</v>
      </c>
      <c r="AP13" s="15"/>
      <c r="AR13" s="3"/>
      <c r="AS13" s="3">
        <f t="shared" si="0"/>
        <v>0.14388489208633093</v>
      </c>
      <c r="AT13" s="3">
        <f>7+58.7*0.375+58.9*0.25+0.375*54.9+32</f>
        <v>96.325000000000003</v>
      </c>
      <c r="AU13" s="3">
        <f t="shared" si="3"/>
        <v>0.2782400438330882</v>
      </c>
      <c r="AV13" s="1">
        <v>278</v>
      </c>
      <c r="AW13" s="3">
        <v>40</v>
      </c>
      <c r="AX13" s="3">
        <v>40</v>
      </c>
      <c r="AY13" s="1">
        <v>171</v>
      </c>
      <c r="AZ13" s="1">
        <v>162</v>
      </c>
      <c r="BA13" s="1">
        <v>158</v>
      </c>
      <c r="BD13" s="1">
        <f t="shared" si="1"/>
        <v>0.92397660818713445</v>
      </c>
      <c r="BE13" s="1">
        <v>0.26</v>
      </c>
      <c r="BF13" s="1">
        <v>100</v>
      </c>
      <c r="BG13" s="3">
        <v>0.91935483870967738</v>
      </c>
    </row>
    <row r="14" spans="1:60" ht="17.25" customHeight="1" x14ac:dyDescent="0.2">
      <c r="A14" s="4" t="s">
        <v>167</v>
      </c>
      <c r="B14" s="4" t="s">
        <v>4</v>
      </c>
      <c r="C14" s="4" t="s">
        <v>557</v>
      </c>
      <c r="D14" s="4" t="s">
        <v>210</v>
      </c>
      <c r="F14" s="12"/>
      <c r="G14" s="12">
        <f t="shared" si="2"/>
        <v>3.9050000000000002</v>
      </c>
      <c r="H14" s="4">
        <v>3.92</v>
      </c>
      <c r="L14" s="4">
        <v>3.89</v>
      </c>
      <c r="V14" s="4">
        <v>1</v>
      </c>
      <c r="W14" s="4" t="s">
        <v>111</v>
      </c>
      <c r="Y14" s="4" t="s">
        <v>15</v>
      </c>
      <c r="Z14" s="4">
        <v>2</v>
      </c>
      <c r="AA14" s="4" t="s">
        <v>55</v>
      </c>
      <c r="AB14" s="4">
        <v>1</v>
      </c>
      <c r="AC14" s="4" t="s">
        <v>543</v>
      </c>
      <c r="AD14" s="6" t="s">
        <v>54</v>
      </c>
      <c r="AE14" s="13" t="s">
        <v>825</v>
      </c>
      <c r="AF14" s="12"/>
      <c r="AG14" s="6"/>
      <c r="AH14" s="4" t="s">
        <v>23</v>
      </c>
      <c r="AI14" s="4">
        <v>3</v>
      </c>
      <c r="AJ14" s="4">
        <v>4.2</v>
      </c>
      <c r="AL14" s="4" t="s">
        <v>31</v>
      </c>
      <c r="AM14" s="10"/>
      <c r="AS14" s="7">
        <f t="shared" si="0"/>
        <v>0.10948905109489052</v>
      </c>
      <c r="AT14" s="7">
        <f>7+58.9*1+32</f>
        <v>97.9</v>
      </c>
      <c r="AU14" s="7">
        <f t="shared" si="3"/>
        <v>0.27376376120758145</v>
      </c>
      <c r="AV14" s="4">
        <v>274</v>
      </c>
      <c r="AW14" s="7">
        <v>30</v>
      </c>
      <c r="AX14" s="7">
        <v>30</v>
      </c>
      <c r="AY14" s="4">
        <v>170</v>
      </c>
      <c r="AZ14" s="4">
        <v>116</v>
      </c>
      <c r="BA14" s="4">
        <v>84</v>
      </c>
      <c r="BD14" s="4">
        <f>BA14/AY14</f>
        <v>0.49411764705882355</v>
      </c>
      <c r="BE14" s="4">
        <f t="shared" ref="BE14:BE27" si="4">(AY14-BA14)/50</f>
        <v>1.72</v>
      </c>
    </row>
    <row r="15" spans="1:60" s="1" customFormat="1" ht="19.5" customHeight="1" x14ac:dyDescent="0.2">
      <c r="A15" s="1" t="s">
        <v>167</v>
      </c>
      <c r="B15" s="1" t="s">
        <v>4</v>
      </c>
      <c r="C15" s="1" t="s">
        <v>558</v>
      </c>
      <c r="D15" s="1" t="s">
        <v>210</v>
      </c>
      <c r="F15" s="13"/>
      <c r="G15" s="12" t="e">
        <f t="shared" si="2"/>
        <v>#DIV/0!</v>
      </c>
      <c r="R15" s="3"/>
      <c r="V15" s="1">
        <v>1</v>
      </c>
      <c r="W15" s="1" t="s">
        <v>111</v>
      </c>
      <c r="Y15" s="1" t="s">
        <v>15</v>
      </c>
      <c r="Z15" s="1">
        <v>2</v>
      </c>
      <c r="AA15" s="1" t="s">
        <v>55</v>
      </c>
      <c r="AB15" s="1">
        <v>1</v>
      </c>
      <c r="AC15" s="1" t="s">
        <v>543</v>
      </c>
      <c r="AD15" s="5" t="s">
        <v>54</v>
      </c>
      <c r="AE15" s="13" t="s">
        <v>825</v>
      </c>
      <c r="AF15" s="13"/>
      <c r="AG15" s="5"/>
      <c r="AH15" s="1" t="s">
        <v>23</v>
      </c>
      <c r="AI15" s="1">
        <v>3</v>
      </c>
      <c r="AJ15" s="1">
        <v>4.4000000000000004</v>
      </c>
      <c r="AL15" s="1" t="s">
        <v>31</v>
      </c>
      <c r="AM15" s="2"/>
      <c r="AN15" s="3"/>
      <c r="AP15" s="15"/>
      <c r="AR15" s="3"/>
      <c r="AS15" s="3">
        <f t="shared" si="0"/>
        <v>0.10948905109489052</v>
      </c>
      <c r="AT15" s="3">
        <f t="shared" ref="AT15" si="5">7+58.9*1+32</f>
        <v>97.9</v>
      </c>
      <c r="AU15" s="3">
        <f t="shared" si="3"/>
        <v>0.27376376120758145</v>
      </c>
      <c r="AV15" s="1">
        <v>274</v>
      </c>
      <c r="AW15" s="3">
        <v>30</v>
      </c>
      <c r="AX15" s="3">
        <v>30</v>
      </c>
      <c r="AY15" s="1">
        <v>170</v>
      </c>
      <c r="AZ15" s="1">
        <v>128</v>
      </c>
      <c r="BA15" s="1">
        <v>104</v>
      </c>
      <c r="BD15" s="1">
        <f t="shared" ref="BD15:BD27" si="6">BA15/AY15</f>
        <v>0.61176470588235299</v>
      </c>
      <c r="BE15" s="1">
        <f t="shared" si="4"/>
        <v>1.32</v>
      </c>
      <c r="BG15" s="3"/>
    </row>
    <row r="16" spans="1:60" ht="17.25" customHeight="1" x14ac:dyDescent="0.2">
      <c r="A16" s="4" t="s">
        <v>167</v>
      </c>
      <c r="B16" s="4" t="s">
        <v>58</v>
      </c>
      <c r="C16" s="4" t="s">
        <v>559</v>
      </c>
      <c r="D16" s="4" t="s">
        <v>210</v>
      </c>
      <c r="F16" s="12"/>
      <c r="G16" s="12">
        <f t="shared" si="2"/>
        <v>3.9050000000000002</v>
      </c>
      <c r="H16" s="4">
        <v>3.93</v>
      </c>
      <c r="L16" s="4">
        <v>3.88</v>
      </c>
      <c r="V16" s="4">
        <v>1</v>
      </c>
      <c r="W16" s="4" t="s">
        <v>111</v>
      </c>
      <c r="Y16" s="4" t="s">
        <v>15</v>
      </c>
      <c r="Z16" s="4">
        <v>2</v>
      </c>
      <c r="AA16" s="4" t="s">
        <v>55</v>
      </c>
      <c r="AB16" s="4">
        <v>1</v>
      </c>
      <c r="AC16" s="4" t="s">
        <v>543</v>
      </c>
      <c r="AD16" s="6" t="s">
        <v>54</v>
      </c>
      <c r="AE16" s="13" t="s">
        <v>825</v>
      </c>
      <c r="AF16" s="12"/>
      <c r="AG16" s="6"/>
      <c r="AH16" s="4" t="s">
        <v>23</v>
      </c>
      <c r="AI16" s="4">
        <v>3</v>
      </c>
      <c r="AJ16" s="4">
        <v>4.2</v>
      </c>
      <c r="AL16" s="4" t="s">
        <v>31</v>
      </c>
      <c r="AM16" s="10"/>
      <c r="AS16" s="7">
        <f t="shared" si="0"/>
        <v>0.10948905109489052</v>
      </c>
      <c r="AT16" s="7">
        <f>7+58.7*0.0125+58.9*0.975+0.0125*54.9+32</f>
        <v>97.847499999999997</v>
      </c>
      <c r="AU16" s="7">
        <f t="shared" si="3"/>
        <v>0.27391064894067019</v>
      </c>
      <c r="AV16" s="4">
        <v>274</v>
      </c>
      <c r="AW16" s="7">
        <v>30</v>
      </c>
      <c r="AX16" s="7">
        <v>30</v>
      </c>
      <c r="AY16" s="4">
        <v>175</v>
      </c>
      <c r="AZ16" s="4">
        <v>117</v>
      </c>
      <c r="BA16" s="4">
        <v>115</v>
      </c>
      <c r="BD16" s="4">
        <f t="shared" si="6"/>
        <v>0.65714285714285714</v>
      </c>
      <c r="BE16" s="4">
        <f t="shared" si="4"/>
        <v>1.2</v>
      </c>
    </row>
    <row r="17" spans="1:59" s="1" customFormat="1" ht="19.5" customHeight="1" x14ac:dyDescent="0.2">
      <c r="A17" s="1" t="s">
        <v>167</v>
      </c>
      <c r="B17" s="1" t="s">
        <v>57</v>
      </c>
      <c r="C17" s="1" t="s">
        <v>560</v>
      </c>
      <c r="D17" s="1" t="s">
        <v>210</v>
      </c>
      <c r="F17" s="13"/>
      <c r="G17" s="12">
        <f t="shared" si="2"/>
        <v>3.9000000000000004</v>
      </c>
      <c r="H17" s="1">
        <v>3.93</v>
      </c>
      <c r="L17" s="1">
        <v>3.87</v>
      </c>
      <c r="R17" s="3"/>
      <c r="V17" s="1">
        <v>1</v>
      </c>
      <c r="W17" s="1" t="s">
        <v>111</v>
      </c>
      <c r="Y17" s="1" t="s">
        <v>15</v>
      </c>
      <c r="Z17" s="1">
        <v>2</v>
      </c>
      <c r="AA17" s="1" t="s">
        <v>55</v>
      </c>
      <c r="AB17" s="1">
        <v>1</v>
      </c>
      <c r="AC17" s="1" t="s">
        <v>543</v>
      </c>
      <c r="AD17" s="5" t="s">
        <v>54</v>
      </c>
      <c r="AE17" s="13" t="s">
        <v>825</v>
      </c>
      <c r="AF17" s="13"/>
      <c r="AG17" s="5"/>
      <c r="AH17" s="1" t="s">
        <v>23</v>
      </c>
      <c r="AI17" s="1">
        <v>3</v>
      </c>
      <c r="AJ17" s="1">
        <v>4.2</v>
      </c>
      <c r="AL17" s="1" t="s">
        <v>31</v>
      </c>
      <c r="AM17" s="2"/>
      <c r="AN17" s="3"/>
      <c r="AP17" s="15"/>
      <c r="AR17" s="3"/>
      <c r="AS17" s="3">
        <f t="shared" si="0"/>
        <v>0.10948905109489052</v>
      </c>
      <c r="AT17" s="3">
        <f>7+58.7*0.025+58.9*0.95+0.025*54.9+32</f>
        <v>97.795000000000002</v>
      </c>
      <c r="AU17" s="3">
        <f t="shared" si="3"/>
        <v>0.27405769438337568</v>
      </c>
      <c r="AV17" s="1">
        <v>274</v>
      </c>
      <c r="AW17" s="3">
        <v>30</v>
      </c>
      <c r="AX17" s="3">
        <v>30</v>
      </c>
      <c r="AY17" s="1">
        <v>170</v>
      </c>
      <c r="AZ17" s="1">
        <v>114</v>
      </c>
      <c r="BA17" s="1">
        <v>112</v>
      </c>
      <c r="BD17" s="1">
        <f t="shared" si="6"/>
        <v>0.6588235294117647</v>
      </c>
      <c r="BE17" s="1">
        <f t="shared" si="4"/>
        <v>1.1599999999999999</v>
      </c>
      <c r="BG17" s="3"/>
    </row>
    <row r="18" spans="1:59" ht="17.25" customHeight="1" x14ac:dyDescent="0.2">
      <c r="A18" s="4" t="s">
        <v>167</v>
      </c>
      <c r="B18" s="4" t="s">
        <v>56</v>
      </c>
      <c r="C18" s="4" t="s">
        <v>561</v>
      </c>
      <c r="D18" s="4" t="s">
        <v>210</v>
      </c>
      <c r="F18" s="12"/>
      <c r="G18" s="12">
        <f t="shared" si="2"/>
        <v>3.84</v>
      </c>
      <c r="H18" s="4">
        <v>3.8</v>
      </c>
      <c r="L18" s="4">
        <v>3.88</v>
      </c>
      <c r="V18" s="4">
        <v>1</v>
      </c>
      <c r="W18" s="4" t="s">
        <v>111</v>
      </c>
      <c r="Y18" s="4" t="s">
        <v>15</v>
      </c>
      <c r="Z18" s="4">
        <v>2</v>
      </c>
      <c r="AA18" s="4" t="s">
        <v>55</v>
      </c>
      <c r="AB18" s="4">
        <v>1</v>
      </c>
      <c r="AC18" s="4" t="s">
        <v>543</v>
      </c>
      <c r="AD18" s="6" t="s">
        <v>54</v>
      </c>
      <c r="AE18" s="13" t="s">
        <v>825</v>
      </c>
      <c r="AF18" s="12"/>
      <c r="AG18" s="6"/>
      <c r="AH18" s="4" t="s">
        <v>23</v>
      </c>
      <c r="AI18" s="4">
        <v>3</v>
      </c>
      <c r="AJ18" s="4">
        <v>4.2</v>
      </c>
      <c r="AL18" s="4" t="s">
        <v>31</v>
      </c>
      <c r="AM18" s="10"/>
      <c r="AS18" s="7">
        <f t="shared" si="0"/>
        <v>0.10948905109489052</v>
      </c>
      <c r="AT18" s="7">
        <f>7+58.7*0.05+58.9*0.9+0.05*54.9+32</f>
        <v>97.69</v>
      </c>
      <c r="AU18" s="7">
        <f t="shared" si="3"/>
        <v>0.27435225941470187</v>
      </c>
      <c r="AV18" s="4">
        <v>274</v>
      </c>
      <c r="AW18" s="7">
        <v>30</v>
      </c>
      <c r="AX18" s="7">
        <v>30</v>
      </c>
      <c r="AY18" s="4">
        <v>174</v>
      </c>
      <c r="AZ18" s="4">
        <v>110</v>
      </c>
      <c r="BA18" s="4">
        <v>107</v>
      </c>
      <c r="BD18" s="4">
        <f t="shared" si="6"/>
        <v>0.61494252873563215</v>
      </c>
      <c r="BE18" s="4">
        <f t="shared" si="4"/>
        <v>1.34</v>
      </c>
    </row>
    <row r="19" spans="1:59" s="1" customFormat="1" ht="19.5" customHeight="1" x14ac:dyDescent="0.2">
      <c r="A19" s="1" t="s">
        <v>167</v>
      </c>
      <c r="B19" s="1" t="s">
        <v>59</v>
      </c>
      <c r="C19" s="1" t="s">
        <v>562</v>
      </c>
      <c r="D19" s="1" t="s">
        <v>210</v>
      </c>
      <c r="F19" s="13"/>
      <c r="G19" s="12">
        <f t="shared" si="2"/>
        <v>3.8849999999999998</v>
      </c>
      <c r="H19" s="1">
        <v>3.9</v>
      </c>
      <c r="L19" s="1">
        <v>3.87</v>
      </c>
      <c r="R19" s="3"/>
      <c r="V19" s="1">
        <v>1</v>
      </c>
      <c r="W19" s="1" t="s">
        <v>111</v>
      </c>
      <c r="Y19" s="1" t="s">
        <v>15</v>
      </c>
      <c r="Z19" s="1">
        <v>2</v>
      </c>
      <c r="AA19" s="1" t="s">
        <v>55</v>
      </c>
      <c r="AB19" s="1">
        <v>1</v>
      </c>
      <c r="AC19" s="1" t="s">
        <v>543</v>
      </c>
      <c r="AD19" s="5" t="s">
        <v>54</v>
      </c>
      <c r="AE19" s="13" t="s">
        <v>825</v>
      </c>
      <c r="AF19" s="13"/>
      <c r="AG19" s="5"/>
      <c r="AH19" s="1" t="s">
        <v>23</v>
      </c>
      <c r="AI19" s="1">
        <v>3</v>
      </c>
      <c r="AJ19" s="1">
        <v>4.2</v>
      </c>
      <c r="AL19" s="1" t="s">
        <v>31</v>
      </c>
      <c r="AM19" s="2"/>
      <c r="AN19" s="3"/>
      <c r="AP19" s="15"/>
      <c r="AR19" s="3"/>
      <c r="AS19" s="3">
        <f t="shared" si="0"/>
        <v>0.10909090909090909</v>
      </c>
      <c r="AT19" s="3">
        <f>7+58.7*0.075+58.9*0.85+0.075*54.9+32</f>
        <v>97.585000000000008</v>
      </c>
      <c r="AU19" s="3">
        <f t="shared" si="3"/>
        <v>0.27464745834116128</v>
      </c>
      <c r="AV19" s="1">
        <v>275</v>
      </c>
      <c r="AW19" s="3">
        <v>30</v>
      </c>
      <c r="AX19" s="3">
        <v>30</v>
      </c>
      <c r="AY19" s="1">
        <v>166</v>
      </c>
      <c r="AZ19" s="1">
        <v>104</v>
      </c>
      <c r="BA19" s="1">
        <v>100</v>
      </c>
      <c r="BD19" s="1">
        <f t="shared" si="6"/>
        <v>0.60240963855421692</v>
      </c>
      <c r="BE19" s="1">
        <f t="shared" si="4"/>
        <v>1.32</v>
      </c>
      <c r="BG19" s="3"/>
    </row>
    <row r="20" spans="1:59" ht="17.25" customHeight="1" x14ac:dyDescent="0.2">
      <c r="A20" s="4" t="s">
        <v>167</v>
      </c>
      <c r="B20" s="4" t="s">
        <v>59</v>
      </c>
      <c r="C20" s="4" t="s">
        <v>563</v>
      </c>
      <c r="D20" s="4" t="s">
        <v>210</v>
      </c>
      <c r="F20" s="12"/>
      <c r="G20" s="12" t="e">
        <f t="shared" si="2"/>
        <v>#DIV/0!</v>
      </c>
      <c r="V20" s="4">
        <v>1</v>
      </c>
      <c r="W20" s="4" t="s">
        <v>111</v>
      </c>
      <c r="Y20" s="4" t="s">
        <v>15</v>
      </c>
      <c r="Z20" s="4">
        <v>2</v>
      </c>
      <c r="AA20" s="4" t="s">
        <v>55</v>
      </c>
      <c r="AB20" s="4">
        <v>1</v>
      </c>
      <c r="AC20" s="4" t="s">
        <v>543</v>
      </c>
      <c r="AD20" s="6" t="s">
        <v>54</v>
      </c>
      <c r="AE20" s="13" t="s">
        <v>825</v>
      </c>
      <c r="AF20" s="12"/>
      <c r="AG20" s="6"/>
      <c r="AH20" s="4" t="s">
        <v>23</v>
      </c>
      <c r="AI20" s="4">
        <v>3</v>
      </c>
      <c r="AJ20" s="4">
        <v>4.4000000000000004</v>
      </c>
      <c r="AL20" s="4" t="s">
        <v>31</v>
      </c>
      <c r="AM20" s="10"/>
      <c r="AS20" s="7">
        <f t="shared" si="0"/>
        <v>0.10909090909090909</v>
      </c>
      <c r="AT20" s="7">
        <f>7+58.7*0.075+58.9*0.85+0.075*54.9+32</f>
        <v>97.585000000000008</v>
      </c>
      <c r="AU20" s="7">
        <f t="shared" si="3"/>
        <v>0.27464745834116128</v>
      </c>
      <c r="AV20" s="4">
        <v>275</v>
      </c>
      <c r="AW20" s="7">
        <v>30</v>
      </c>
      <c r="AX20" s="7">
        <v>30</v>
      </c>
      <c r="AY20" s="4">
        <v>163</v>
      </c>
      <c r="AZ20" s="4">
        <v>127</v>
      </c>
      <c r="BA20" s="4">
        <v>121</v>
      </c>
      <c r="BD20" s="4">
        <f t="shared" si="6"/>
        <v>0.74233128834355833</v>
      </c>
      <c r="BE20" s="4">
        <f t="shared" si="4"/>
        <v>0.84</v>
      </c>
    </row>
    <row r="21" spans="1:59" s="1" customFormat="1" ht="19.5" customHeight="1" x14ac:dyDescent="0.2">
      <c r="A21" s="1" t="s">
        <v>167</v>
      </c>
      <c r="B21" s="1" t="s">
        <v>60</v>
      </c>
      <c r="C21" s="1" t="s">
        <v>564</v>
      </c>
      <c r="D21" s="1" t="s">
        <v>210</v>
      </c>
      <c r="F21" s="13"/>
      <c r="G21" s="12">
        <f t="shared" si="2"/>
        <v>3.88</v>
      </c>
      <c r="H21" s="1">
        <v>3.9</v>
      </c>
      <c r="L21" s="1">
        <v>3.86</v>
      </c>
      <c r="R21" s="3"/>
      <c r="V21" s="1">
        <v>1</v>
      </c>
      <c r="W21" s="1" t="s">
        <v>111</v>
      </c>
      <c r="Y21" s="1" t="s">
        <v>15</v>
      </c>
      <c r="Z21" s="1">
        <v>2</v>
      </c>
      <c r="AA21" s="1" t="s">
        <v>55</v>
      </c>
      <c r="AB21" s="1">
        <v>1</v>
      </c>
      <c r="AC21" s="1" t="s">
        <v>543</v>
      </c>
      <c r="AD21" s="5" t="s">
        <v>54</v>
      </c>
      <c r="AE21" s="13" t="s">
        <v>825</v>
      </c>
      <c r="AF21" s="13"/>
      <c r="AG21" s="5"/>
      <c r="AH21" s="1" t="s">
        <v>23</v>
      </c>
      <c r="AI21" s="1">
        <v>3</v>
      </c>
      <c r="AJ21" s="1">
        <v>4.2</v>
      </c>
      <c r="AL21" s="1" t="s">
        <v>31</v>
      </c>
      <c r="AM21" s="2"/>
      <c r="AN21" s="3"/>
      <c r="AP21" s="15"/>
      <c r="AR21" s="3"/>
      <c r="AS21" s="3">
        <f t="shared" si="0"/>
        <v>0.10909090909090909</v>
      </c>
      <c r="AT21" s="3">
        <f>7+58.7*0.15+58.9*0.7+0.15*54.9+32</f>
        <v>97.27</v>
      </c>
      <c r="AU21" s="3">
        <f t="shared" si="3"/>
        <v>0.27553687901945334</v>
      </c>
      <c r="AV21" s="1">
        <v>275</v>
      </c>
      <c r="AW21" s="3">
        <v>30</v>
      </c>
      <c r="AX21" s="3">
        <v>30</v>
      </c>
      <c r="AY21" s="1">
        <v>177</v>
      </c>
      <c r="AZ21" s="1">
        <v>116</v>
      </c>
      <c r="BA21" s="1">
        <v>116</v>
      </c>
      <c r="BD21" s="1">
        <f t="shared" si="6"/>
        <v>0.65536723163841804</v>
      </c>
      <c r="BE21" s="1">
        <f t="shared" si="4"/>
        <v>1.22</v>
      </c>
      <c r="BG21" s="3"/>
    </row>
    <row r="22" spans="1:59" ht="17.25" customHeight="1" x14ac:dyDescent="0.2">
      <c r="A22" s="4" t="s">
        <v>167</v>
      </c>
      <c r="B22" s="4" t="s">
        <v>60</v>
      </c>
      <c r="C22" s="4" t="s">
        <v>565</v>
      </c>
      <c r="D22" s="4" t="s">
        <v>210</v>
      </c>
      <c r="F22" s="12"/>
      <c r="G22" s="12" t="e">
        <f t="shared" si="2"/>
        <v>#DIV/0!</v>
      </c>
      <c r="V22" s="4">
        <v>1</v>
      </c>
      <c r="W22" s="4" t="s">
        <v>111</v>
      </c>
      <c r="Y22" s="4" t="s">
        <v>15</v>
      </c>
      <c r="Z22" s="4">
        <v>2</v>
      </c>
      <c r="AA22" s="4" t="s">
        <v>55</v>
      </c>
      <c r="AB22" s="4">
        <v>1</v>
      </c>
      <c r="AC22" s="4" t="s">
        <v>543</v>
      </c>
      <c r="AD22" s="6" t="s">
        <v>54</v>
      </c>
      <c r="AE22" s="13" t="s">
        <v>825</v>
      </c>
      <c r="AF22" s="12"/>
      <c r="AG22" s="6"/>
      <c r="AH22" s="4" t="s">
        <v>23</v>
      </c>
      <c r="AI22" s="4">
        <v>3</v>
      </c>
      <c r="AJ22" s="4">
        <v>4.4000000000000004</v>
      </c>
      <c r="AL22" s="4" t="s">
        <v>31</v>
      </c>
      <c r="AM22" s="10"/>
      <c r="AS22" s="7">
        <f t="shared" si="0"/>
        <v>0.10909090909090909</v>
      </c>
      <c r="AT22" s="7">
        <f>7+58.7*0.15+58.9*0.7+0.15*54.9+32</f>
        <v>97.27</v>
      </c>
      <c r="AU22" s="7">
        <f t="shared" si="3"/>
        <v>0.27553687901945334</v>
      </c>
      <c r="AV22" s="4">
        <v>275</v>
      </c>
      <c r="AW22" s="7">
        <v>30</v>
      </c>
      <c r="AX22" s="7">
        <v>30</v>
      </c>
      <c r="AY22" s="4">
        <v>177</v>
      </c>
      <c r="AZ22" s="4">
        <v>143</v>
      </c>
      <c r="BA22" s="4">
        <v>140</v>
      </c>
      <c r="BD22" s="4">
        <f t="shared" si="6"/>
        <v>0.79096045197740117</v>
      </c>
      <c r="BE22" s="4">
        <f t="shared" si="4"/>
        <v>0.74</v>
      </c>
    </row>
    <row r="23" spans="1:59" s="1" customFormat="1" ht="19.5" customHeight="1" x14ac:dyDescent="0.2">
      <c r="A23" s="1" t="s">
        <v>167</v>
      </c>
      <c r="B23" s="1" t="s">
        <v>61</v>
      </c>
      <c r="C23" s="1" t="s">
        <v>566</v>
      </c>
      <c r="D23" s="1" t="s">
        <v>210</v>
      </c>
      <c r="F23" s="13"/>
      <c r="G23" s="12">
        <f t="shared" si="2"/>
        <v>3.6850000000000001</v>
      </c>
      <c r="H23" s="1">
        <v>3.7</v>
      </c>
      <c r="L23" s="1">
        <v>3.67</v>
      </c>
      <c r="R23" s="3"/>
      <c r="V23" s="1">
        <v>1</v>
      </c>
      <c r="W23" s="1" t="s">
        <v>111</v>
      </c>
      <c r="Y23" s="1" t="s">
        <v>15</v>
      </c>
      <c r="Z23" s="1">
        <v>2</v>
      </c>
      <c r="AA23" s="1" t="s">
        <v>55</v>
      </c>
      <c r="AB23" s="1">
        <v>1</v>
      </c>
      <c r="AC23" s="1" t="s">
        <v>543</v>
      </c>
      <c r="AD23" s="5" t="s">
        <v>54</v>
      </c>
      <c r="AE23" s="13" t="s">
        <v>825</v>
      </c>
      <c r="AF23" s="13"/>
      <c r="AG23" s="5"/>
      <c r="AH23" s="1" t="s">
        <v>23</v>
      </c>
      <c r="AI23" s="1">
        <v>3</v>
      </c>
      <c r="AJ23" s="1">
        <v>4.2</v>
      </c>
      <c r="AL23" s="1" t="s">
        <v>31</v>
      </c>
      <c r="AM23" s="2"/>
      <c r="AN23" s="3"/>
      <c r="AP23" s="15"/>
      <c r="AR23" s="3"/>
      <c r="AS23" s="3">
        <f t="shared" ref="AS23:AS27" si="7">AW23/AV23</f>
        <v>0.10869565217391304</v>
      </c>
      <c r="AT23" s="3">
        <f>7+58.7*0.225+58.9*0.55+0.225*54.9+32</f>
        <v>96.955000000000013</v>
      </c>
      <c r="AU23" s="3">
        <f t="shared" si="3"/>
        <v>0.27643207902864442</v>
      </c>
      <c r="AV23" s="1">
        <v>276</v>
      </c>
      <c r="AW23" s="3">
        <v>30</v>
      </c>
      <c r="AX23" s="3">
        <v>30</v>
      </c>
      <c r="AY23" s="1">
        <v>175</v>
      </c>
      <c r="AZ23" s="1">
        <v>122</v>
      </c>
      <c r="BA23" s="1">
        <v>120</v>
      </c>
      <c r="BD23" s="1">
        <f t="shared" si="6"/>
        <v>0.68571428571428572</v>
      </c>
      <c r="BE23" s="1">
        <f t="shared" si="4"/>
        <v>1.1000000000000001</v>
      </c>
      <c r="BG23" s="3"/>
    </row>
    <row r="24" spans="1:59" ht="17.25" customHeight="1" x14ac:dyDescent="0.2">
      <c r="A24" s="4" t="s">
        <v>167</v>
      </c>
      <c r="B24" s="4" t="s">
        <v>61</v>
      </c>
      <c r="C24" s="4" t="s">
        <v>567</v>
      </c>
      <c r="D24" s="4" t="s">
        <v>210</v>
      </c>
      <c r="F24" s="12"/>
      <c r="G24" s="12" t="e">
        <f t="shared" si="2"/>
        <v>#DIV/0!</v>
      </c>
      <c r="V24" s="4">
        <v>1</v>
      </c>
      <c r="W24" s="4" t="s">
        <v>111</v>
      </c>
      <c r="Y24" s="4" t="s">
        <v>15</v>
      </c>
      <c r="Z24" s="4">
        <v>2</v>
      </c>
      <c r="AA24" s="4" t="s">
        <v>55</v>
      </c>
      <c r="AB24" s="4">
        <v>1</v>
      </c>
      <c r="AC24" s="4" t="s">
        <v>543</v>
      </c>
      <c r="AD24" s="6" t="s">
        <v>54</v>
      </c>
      <c r="AE24" s="13" t="s">
        <v>825</v>
      </c>
      <c r="AF24" s="12"/>
      <c r="AG24" s="6"/>
      <c r="AH24" s="4" t="s">
        <v>23</v>
      </c>
      <c r="AI24" s="4">
        <v>3</v>
      </c>
      <c r="AJ24" s="4">
        <v>4.2</v>
      </c>
      <c r="AL24" s="4" t="s">
        <v>31</v>
      </c>
      <c r="AM24" s="10"/>
      <c r="AS24" s="7">
        <f t="shared" si="7"/>
        <v>0.10869565217391304</v>
      </c>
      <c r="AT24" s="7">
        <f>7+58.7*0.225+58.9*0.55+0.225*54.9+32</f>
        <v>96.955000000000013</v>
      </c>
      <c r="AU24" s="7">
        <f t="shared" si="3"/>
        <v>0.27643207902864442</v>
      </c>
      <c r="AV24" s="4">
        <v>276</v>
      </c>
      <c r="AW24" s="7">
        <v>30</v>
      </c>
      <c r="AX24" s="7">
        <v>30</v>
      </c>
      <c r="AY24" s="4">
        <v>175</v>
      </c>
      <c r="AZ24" s="4">
        <v>150</v>
      </c>
      <c r="BA24" s="4">
        <v>145</v>
      </c>
      <c r="BD24" s="4">
        <f t="shared" si="6"/>
        <v>0.82857142857142863</v>
      </c>
      <c r="BE24" s="4">
        <f t="shared" si="4"/>
        <v>0.6</v>
      </c>
    </row>
    <row r="25" spans="1:59" s="1" customFormat="1" ht="19.5" customHeight="1" x14ac:dyDescent="0.2">
      <c r="A25" s="1" t="s">
        <v>167</v>
      </c>
      <c r="B25" s="1" t="s">
        <v>62</v>
      </c>
      <c r="C25" s="1" t="s">
        <v>568</v>
      </c>
      <c r="D25" s="1" t="s">
        <v>210</v>
      </c>
      <c r="F25" s="13"/>
      <c r="G25" s="12">
        <f t="shared" si="2"/>
        <v>3.7349999999999999</v>
      </c>
      <c r="H25" s="1">
        <v>3.76</v>
      </c>
      <c r="L25" s="1">
        <v>3.71</v>
      </c>
      <c r="R25" s="3"/>
      <c r="V25" s="1">
        <v>1</v>
      </c>
      <c r="W25" s="1" t="s">
        <v>111</v>
      </c>
      <c r="Y25" s="1" t="s">
        <v>15</v>
      </c>
      <c r="Z25" s="1">
        <v>2</v>
      </c>
      <c r="AA25" s="1" t="s">
        <v>55</v>
      </c>
      <c r="AB25" s="1">
        <v>1</v>
      </c>
      <c r="AC25" s="1" t="s">
        <v>543</v>
      </c>
      <c r="AD25" s="5" t="s">
        <v>54</v>
      </c>
      <c r="AE25" s="13" t="s">
        <v>825</v>
      </c>
      <c r="AF25" s="13"/>
      <c r="AG25" s="5"/>
      <c r="AH25" s="1" t="s">
        <v>23</v>
      </c>
      <c r="AI25" s="1">
        <v>3</v>
      </c>
      <c r="AJ25" s="1">
        <v>4.2</v>
      </c>
      <c r="AL25" s="1" t="s">
        <v>31</v>
      </c>
      <c r="AM25" s="2"/>
      <c r="AN25" s="3"/>
      <c r="AP25" s="15"/>
      <c r="AR25" s="3"/>
      <c r="AS25" s="3">
        <f t="shared" si="7"/>
        <v>0.10830324909747292</v>
      </c>
      <c r="AT25" s="3">
        <f>7+58.7*0.3+58.9*0.4+0.3*54.9+32</f>
        <v>96.64</v>
      </c>
      <c r="AU25" s="3">
        <f t="shared" si="3"/>
        <v>0.27733311488226636</v>
      </c>
      <c r="AV25" s="1">
        <v>277</v>
      </c>
      <c r="AW25" s="3">
        <v>30</v>
      </c>
      <c r="AX25" s="3">
        <v>30</v>
      </c>
      <c r="AY25" s="1">
        <v>179</v>
      </c>
      <c r="AZ25" s="1">
        <v>132</v>
      </c>
      <c r="BA25" s="1">
        <v>128</v>
      </c>
      <c r="BD25" s="1">
        <f t="shared" si="6"/>
        <v>0.71508379888268159</v>
      </c>
      <c r="BE25" s="1">
        <f t="shared" si="4"/>
        <v>1.02</v>
      </c>
      <c r="BG25" s="3"/>
    </row>
    <row r="26" spans="1:59" ht="17.25" customHeight="1" x14ac:dyDescent="0.2">
      <c r="A26" s="4" t="s">
        <v>167</v>
      </c>
      <c r="B26" s="4" t="s">
        <v>64</v>
      </c>
      <c r="C26" s="4" t="s">
        <v>569</v>
      </c>
      <c r="D26" s="4" t="s">
        <v>210</v>
      </c>
      <c r="F26" s="12"/>
      <c r="G26" s="12">
        <f t="shared" si="2"/>
        <v>3.7549999999999999</v>
      </c>
      <c r="H26" s="4">
        <v>3.78</v>
      </c>
      <c r="L26" s="4">
        <v>3.73</v>
      </c>
      <c r="V26" s="4">
        <v>3</v>
      </c>
      <c r="W26" s="4" t="s">
        <v>111</v>
      </c>
      <c r="Y26" s="4" t="s">
        <v>15</v>
      </c>
      <c r="Z26" s="4">
        <v>2</v>
      </c>
      <c r="AA26" s="4" t="s">
        <v>55</v>
      </c>
      <c r="AB26" s="4">
        <v>1</v>
      </c>
      <c r="AC26" s="4" t="s">
        <v>543</v>
      </c>
      <c r="AD26" s="6" t="s">
        <v>54</v>
      </c>
      <c r="AE26" s="13" t="s">
        <v>825</v>
      </c>
      <c r="AF26" s="12"/>
      <c r="AG26" s="6"/>
      <c r="AH26" s="4" t="s">
        <v>23</v>
      </c>
      <c r="AI26" s="4">
        <v>3</v>
      </c>
      <c r="AJ26" s="4">
        <v>4.2</v>
      </c>
      <c r="AL26" s="4" t="s">
        <v>31</v>
      </c>
      <c r="AM26" s="10"/>
      <c r="AS26" s="7">
        <f t="shared" si="7"/>
        <v>0.1079136690647482</v>
      </c>
      <c r="AT26" s="7">
        <f>7+58.7*0.375+58.9*0.25+0.375*54.9+32</f>
        <v>96.325000000000003</v>
      </c>
      <c r="AU26" s="7">
        <f t="shared" si="3"/>
        <v>0.2782400438330882</v>
      </c>
      <c r="AV26" s="4">
        <v>278</v>
      </c>
      <c r="AW26" s="7">
        <v>30</v>
      </c>
      <c r="AX26" s="7">
        <v>30</v>
      </c>
      <c r="AY26" s="4">
        <v>185</v>
      </c>
      <c r="AZ26" s="4">
        <v>137</v>
      </c>
      <c r="BA26" s="4">
        <v>135</v>
      </c>
      <c r="BD26" s="4">
        <f t="shared" si="6"/>
        <v>0.72972972972972971</v>
      </c>
      <c r="BE26" s="4">
        <f t="shared" si="4"/>
        <v>1</v>
      </c>
    </row>
    <row r="27" spans="1:59" s="1" customFormat="1" ht="19.5" customHeight="1" x14ac:dyDescent="0.2">
      <c r="A27" s="1" t="s">
        <v>167</v>
      </c>
      <c r="B27" s="1" t="s">
        <v>63</v>
      </c>
      <c r="C27" s="1" t="s">
        <v>570</v>
      </c>
      <c r="D27" s="1" t="s">
        <v>210</v>
      </c>
      <c r="F27" s="13"/>
      <c r="G27" s="12">
        <f t="shared" si="2"/>
        <v>3.77</v>
      </c>
      <c r="H27" s="1">
        <v>3.81</v>
      </c>
      <c r="L27" s="1">
        <v>3.73</v>
      </c>
      <c r="R27" s="3"/>
      <c r="V27" s="1">
        <v>3</v>
      </c>
      <c r="W27" s="1" t="s">
        <v>111</v>
      </c>
      <c r="Y27" s="1" t="s">
        <v>15</v>
      </c>
      <c r="Z27" s="1">
        <v>2</v>
      </c>
      <c r="AA27" s="1" t="s">
        <v>55</v>
      </c>
      <c r="AB27" s="1">
        <v>1</v>
      </c>
      <c r="AC27" s="1" t="s">
        <v>543</v>
      </c>
      <c r="AD27" s="5" t="s">
        <v>54</v>
      </c>
      <c r="AE27" s="13" t="s">
        <v>825</v>
      </c>
      <c r="AF27" s="13"/>
      <c r="AG27" s="5"/>
      <c r="AH27" s="1" t="s">
        <v>23</v>
      </c>
      <c r="AI27" s="1">
        <v>3</v>
      </c>
      <c r="AJ27" s="1">
        <v>4.2</v>
      </c>
      <c r="AL27" s="1" t="s">
        <v>31</v>
      </c>
      <c r="AM27" s="2"/>
      <c r="AN27" s="3"/>
      <c r="AP27" s="15"/>
      <c r="AR27" s="3"/>
      <c r="AS27" s="3">
        <f t="shared" si="7"/>
        <v>0.10752688172043011</v>
      </c>
      <c r="AT27" s="3">
        <f>7+58.7*0.45+58.9*0.1+0.45*54.9+32</f>
        <v>96.01</v>
      </c>
      <c r="AU27" s="3">
        <f t="shared" si="3"/>
        <v>0.27915292388524343</v>
      </c>
      <c r="AV27" s="1">
        <v>279</v>
      </c>
      <c r="AW27" s="3">
        <v>30</v>
      </c>
      <c r="AX27" s="3">
        <v>30</v>
      </c>
      <c r="AY27" s="1">
        <v>185</v>
      </c>
      <c r="AZ27" s="1">
        <v>120</v>
      </c>
      <c r="BA27" s="1">
        <v>115</v>
      </c>
      <c r="BD27" s="1">
        <f t="shared" si="6"/>
        <v>0.6216216216216216</v>
      </c>
      <c r="BE27" s="1">
        <f t="shared" si="4"/>
        <v>1.4</v>
      </c>
      <c r="BG27" s="3"/>
    </row>
    <row r="28" spans="1:59" ht="17.25" customHeight="1" x14ac:dyDescent="0.2">
      <c r="A28" s="4" t="s">
        <v>167</v>
      </c>
      <c r="B28" s="4" t="s">
        <v>591</v>
      </c>
      <c r="C28" s="4" t="s">
        <v>571</v>
      </c>
      <c r="D28" s="4" t="s">
        <v>210</v>
      </c>
      <c r="F28" s="12"/>
      <c r="G28" s="12">
        <f t="shared" si="2"/>
        <v>3.7749999999999999</v>
      </c>
      <c r="H28" s="4">
        <v>3.82</v>
      </c>
      <c r="L28" s="4">
        <v>3.73</v>
      </c>
      <c r="V28" s="4">
        <v>3</v>
      </c>
      <c r="W28" s="4" t="s">
        <v>111</v>
      </c>
      <c r="Y28" s="4" t="s">
        <v>15</v>
      </c>
      <c r="Z28" s="4">
        <v>2</v>
      </c>
      <c r="AA28" s="4" t="s">
        <v>55</v>
      </c>
      <c r="AB28" s="4">
        <v>1</v>
      </c>
      <c r="AC28" s="4" t="s">
        <v>543</v>
      </c>
      <c r="AD28" s="6" t="s">
        <v>54</v>
      </c>
      <c r="AE28" s="13" t="s">
        <v>825</v>
      </c>
      <c r="AF28" s="12"/>
      <c r="AG28" s="6"/>
      <c r="AH28" s="4" t="s">
        <v>23</v>
      </c>
      <c r="AI28" s="4">
        <v>3</v>
      </c>
      <c r="AJ28" s="4">
        <v>4.2</v>
      </c>
      <c r="AL28" s="4" t="s">
        <v>31</v>
      </c>
      <c r="AM28" s="10"/>
      <c r="AS28" s="7">
        <f t="shared" ref="AS28" si="8">AW28/AV28</f>
        <v>0.10714285714285714</v>
      </c>
      <c r="AT28" s="7">
        <f>7+58.7*0.5+0.5*54.9+32</f>
        <v>95.8</v>
      </c>
      <c r="AU28" s="7">
        <f t="shared" si="3"/>
        <v>0.27976484574344701</v>
      </c>
      <c r="AV28" s="4">
        <v>280</v>
      </c>
      <c r="AW28" s="7">
        <v>30</v>
      </c>
      <c r="AX28" s="7">
        <v>30</v>
      </c>
      <c r="AY28" s="4">
        <v>180</v>
      </c>
      <c r="AZ28" s="4">
        <v>135</v>
      </c>
      <c r="BA28" s="4">
        <v>130</v>
      </c>
      <c r="BD28" s="4">
        <f t="shared" ref="BD28:BD32" si="9">BA28/AY28</f>
        <v>0.72222222222222221</v>
      </c>
      <c r="BE28" s="4">
        <f t="shared" ref="BE28:BE36" si="10">(AY28-BA28)/50</f>
        <v>1</v>
      </c>
    </row>
    <row r="29" spans="1:59" s="1" customFormat="1" ht="19.5" customHeight="1" x14ac:dyDescent="0.2">
      <c r="A29" s="1" t="s">
        <v>167</v>
      </c>
      <c r="B29" s="1" t="s">
        <v>94</v>
      </c>
      <c r="C29" s="1" t="s">
        <v>572</v>
      </c>
      <c r="D29" s="1" t="s">
        <v>210</v>
      </c>
      <c r="F29" s="13"/>
      <c r="G29" s="12" t="e">
        <f t="shared" si="2"/>
        <v>#DIV/0!</v>
      </c>
      <c r="H29" s="1" t="s">
        <v>592</v>
      </c>
      <c r="L29" s="1" t="s">
        <v>592</v>
      </c>
      <c r="P29" s="1" t="s">
        <v>593</v>
      </c>
      <c r="R29" s="3"/>
      <c r="V29" s="1">
        <v>5</v>
      </c>
      <c r="W29" s="1" t="s">
        <v>67</v>
      </c>
      <c r="Y29" s="1" t="s">
        <v>15</v>
      </c>
      <c r="Z29" s="1">
        <v>2</v>
      </c>
      <c r="AA29" s="1" t="s">
        <v>75</v>
      </c>
      <c r="AB29" s="1">
        <v>1</v>
      </c>
      <c r="AC29" s="1" t="s">
        <v>68</v>
      </c>
      <c r="AD29" s="5" t="s">
        <v>69</v>
      </c>
      <c r="AE29" s="13" t="s">
        <v>814</v>
      </c>
      <c r="AF29" s="13"/>
      <c r="AG29" s="5"/>
      <c r="AH29" s="1" t="s">
        <v>23</v>
      </c>
      <c r="AI29" s="1">
        <v>2.5</v>
      </c>
      <c r="AJ29" s="1">
        <v>4.3</v>
      </c>
      <c r="AL29" s="1" t="s">
        <v>70</v>
      </c>
      <c r="AM29" s="2"/>
      <c r="AN29" s="3"/>
      <c r="AP29" s="15">
        <v>50</v>
      </c>
      <c r="AQ29" s="1">
        <v>0.05</v>
      </c>
      <c r="AR29" s="3">
        <v>20</v>
      </c>
      <c r="AS29" s="3">
        <v>20</v>
      </c>
      <c r="AT29" s="3"/>
      <c r="AU29" s="3"/>
      <c r="AV29" s="1">
        <v>166</v>
      </c>
      <c r="AW29" s="3">
        <f>AV29*AR29</f>
        <v>3320</v>
      </c>
      <c r="AX29" s="3">
        <f>AV29*AS29</f>
        <v>3320</v>
      </c>
      <c r="AY29" s="1">
        <v>147</v>
      </c>
      <c r="AZ29" s="1">
        <v>145</v>
      </c>
      <c r="BA29" s="1">
        <v>145</v>
      </c>
      <c r="BD29" s="1">
        <f t="shared" si="9"/>
        <v>0.98639455782312924</v>
      </c>
      <c r="BE29" s="1">
        <f t="shared" si="10"/>
        <v>0.04</v>
      </c>
      <c r="BG29" s="3">
        <f>1.38-0.679</f>
        <v>0.70099999999999985</v>
      </c>
    </row>
    <row r="30" spans="1:59" ht="17.25" customHeight="1" x14ac:dyDescent="0.2">
      <c r="A30" s="4" t="s">
        <v>167</v>
      </c>
      <c r="B30" s="4" t="s">
        <v>95</v>
      </c>
      <c r="C30" s="4" t="s">
        <v>572</v>
      </c>
      <c r="D30" s="4" t="s">
        <v>210</v>
      </c>
      <c r="F30" s="12"/>
      <c r="G30" s="12" t="e">
        <f t="shared" si="2"/>
        <v>#DIV/0!</v>
      </c>
      <c r="V30" s="4">
        <v>5</v>
      </c>
      <c r="W30" s="4" t="s">
        <v>67</v>
      </c>
      <c r="Y30" s="4" t="s">
        <v>15</v>
      </c>
      <c r="Z30" s="4">
        <v>2</v>
      </c>
      <c r="AA30" s="4" t="s">
        <v>75</v>
      </c>
      <c r="AB30" s="4">
        <v>1</v>
      </c>
      <c r="AC30" s="4" t="s">
        <v>68</v>
      </c>
      <c r="AD30" s="6" t="s">
        <v>69</v>
      </c>
      <c r="AE30" s="12" t="s">
        <v>814</v>
      </c>
      <c r="AF30" s="12"/>
      <c r="AG30" s="6"/>
      <c r="AH30" s="4" t="s">
        <v>23</v>
      </c>
      <c r="AI30" s="4">
        <v>2.5</v>
      </c>
      <c r="AJ30" s="4">
        <v>4.3</v>
      </c>
      <c r="AL30" s="4" t="s">
        <v>70</v>
      </c>
      <c r="AM30" s="10"/>
      <c r="AP30" s="15">
        <v>50</v>
      </c>
      <c r="AQ30" s="4">
        <v>0.05</v>
      </c>
      <c r="AR30" s="7">
        <v>60</v>
      </c>
      <c r="AS30" s="7">
        <v>60</v>
      </c>
      <c r="AV30" s="4">
        <v>166</v>
      </c>
      <c r="AW30" s="7">
        <f t="shared" ref="AW30:AW33" si="11">AV30*AR30</f>
        <v>9960</v>
      </c>
      <c r="AX30" s="7">
        <f>AV30*AS30</f>
        <v>9960</v>
      </c>
      <c r="AY30" s="4">
        <v>99</v>
      </c>
      <c r="AZ30" s="4">
        <v>101</v>
      </c>
      <c r="BA30" s="4">
        <v>100</v>
      </c>
      <c r="BD30" s="4">
        <f t="shared" si="9"/>
        <v>1.0101010101010102</v>
      </c>
      <c r="BE30" s="4">
        <f t="shared" si="10"/>
        <v>-0.02</v>
      </c>
      <c r="BG30" s="7">
        <f>1.38-0.679</f>
        <v>0.70099999999999985</v>
      </c>
    </row>
    <row r="31" spans="1:59" s="1" customFormat="1" ht="19.5" customHeight="1" x14ac:dyDescent="0.2">
      <c r="A31" s="1">
        <v>20</v>
      </c>
      <c r="B31" s="1" t="s">
        <v>93</v>
      </c>
      <c r="C31" s="1" t="s">
        <v>573</v>
      </c>
      <c r="D31" s="1" t="s">
        <v>210</v>
      </c>
      <c r="F31" s="13"/>
      <c r="G31" s="12">
        <f t="shared" si="2"/>
        <v>3.4</v>
      </c>
      <c r="H31" s="1">
        <v>3.5</v>
      </c>
      <c r="L31" s="1">
        <v>3.3</v>
      </c>
      <c r="R31" s="3"/>
      <c r="V31" s="1">
        <v>5</v>
      </c>
      <c r="W31" s="1" t="s">
        <v>67</v>
      </c>
      <c r="Y31" s="1" t="s">
        <v>15</v>
      </c>
      <c r="Z31" s="1">
        <v>2</v>
      </c>
      <c r="AA31" s="1" t="s">
        <v>75</v>
      </c>
      <c r="AB31" s="1">
        <v>1</v>
      </c>
      <c r="AC31" s="1" t="s">
        <v>546</v>
      </c>
      <c r="AD31" s="5" t="s">
        <v>547</v>
      </c>
      <c r="AE31" s="13" t="s">
        <v>813</v>
      </c>
      <c r="AF31" s="13"/>
      <c r="AG31" s="5"/>
      <c r="AH31" s="1" t="s">
        <v>23</v>
      </c>
      <c r="AI31" s="1">
        <v>2</v>
      </c>
      <c r="AJ31" s="1">
        <v>4.3</v>
      </c>
      <c r="AL31" s="1" t="s">
        <v>70</v>
      </c>
      <c r="AM31" s="2" t="s">
        <v>73</v>
      </c>
      <c r="AN31" s="3"/>
      <c r="AP31" s="15"/>
      <c r="AR31" s="3">
        <v>0.5</v>
      </c>
      <c r="AS31" s="3">
        <v>0.5</v>
      </c>
      <c r="AT31" s="3"/>
      <c r="AU31" s="3"/>
      <c r="AV31" s="1">
        <v>170</v>
      </c>
      <c r="AW31" s="3">
        <f t="shared" si="11"/>
        <v>85</v>
      </c>
      <c r="AX31" s="3">
        <v>84</v>
      </c>
      <c r="AY31" s="1">
        <v>92</v>
      </c>
      <c r="AZ31" s="1">
        <v>100</v>
      </c>
      <c r="BA31" s="1">
        <v>102</v>
      </c>
      <c r="BD31" s="1">
        <f t="shared" si="9"/>
        <v>1.1086956521739131</v>
      </c>
      <c r="BE31" s="1">
        <f t="shared" si="10"/>
        <v>-0.2</v>
      </c>
      <c r="BG31" s="3"/>
    </row>
    <row r="32" spans="1:59" ht="17.25" customHeight="1" x14ac:dyDescent="0.2">
      <c r="A32" s="4" t="s">
        <v>167</v>
      </c>
      <c r="B32" s="4" t="s">
        <v>92</v>
      </c>
      <c r="C32" s="4" t="s">
        <v>574</v>
      </c>
      <c r="D32" s="4" t="s">
        <v>351</v>
      </c>
      <c r="F32" s="12">
        <v>3.9</v>
      </c>
      <c r="G32" s="12">
        <f t="shared" si="2"/>
        <v>4.1749999999999998</v>
      </c>
      <c r="H32" s="4">
        <v>4.0999999999999996</v>
      </c>
      <c r="L32" s="4">
        <v>4.25</v>
      </c>
      <c r="P32" s="4" t="s">
        <v>671</v>
      </c>
      <c r="Q32" s="4">
        <f>138/159</f>
        <v>0.86792452830188682</v>
      </c>
      <c r="V32" s="4">
        <v>2</v>
      </c>
      <c r="W32" s="4" t="s">
        <v>72</v>
      </c>
      <c r="Y32" s="4" t="s">
        <v>15</v>
      </c>
      <c r="Z32" s="4">
        <v>2</v>
      </c>
      <c r="AA32" s="4" t="s">
        <v>76</v>
      </c>
      <c r="AB32" s="4">
        <v>1</v>
      </c>
      <c r="AC32" s="4" t="s">
        <v>74</v>
      </c>
      <c r="AD32" s="6" t="s">
        <v>78</v>
      </c>
      <c r="AE32" s="12" t="s">
        <v>814</v>
      </c>
      <c r="AF32" s="12">
        <v>3.9</v>
      </c>
      <c r="AG32" s="6"/>
      <c r="AH32" s="4" t="s">
        <v>23</v>
      </c>
      <c r="AI32" s="4">
        <v>2.7</v>
      </c>
      <c r="AJ32" s="4">
        <v>4.25</v>
      </c>
      <c r="AM32" s="10"/>
      <c r="AP32" s="15">
        <v>20</v>
      </c>
      <c r="AQ32" s="4">
        <v>0.03</v>
      </c>
      <c r="AR32" s="7">
        <v>1</v>
      </c>
      <c r="AS32" s="7">
        <v>1</v>
      </c>
      <c r="AV32" s="4">
        <v>150</v>
      </c>
      <c r="AW32" s="7">
        <f t="shared" si="11"/>
        <v>150</v>
      </c>
      <c r="AX32" s="7">
        <f t="shared" ref="AX32:AX41" si="12">AV32*AS32</f>
        <v>150</v>
      </c>
      <c r="AY32" s="4">
        <v>114</v>
      </c>
      <c r="AZ32" s="4">
        <v>97</v>
      </c>
      <c r="BA32" s="4">
        <v>96</v>
      </c>
      <c r="BD32" s="4">
        <f t="shared" si="9"/>
        <v>0.84210526315789469</v>
      </c>
      <c r="BE32" s="4">
        <f t="shared" si="10"/>
        <v>0.36</v>
      </c>
    </row>
    <row r="33" spans="1:59" s="1" customFormat="1" ht="19.5" customHeight="1" x14ac:dyDescent="0.2">
      <c r="A33" s="1">
        <v>50</v>
      </c>
      <c r="B33" s="1" t="s">
        <v>92</v>
      </c>
      <c r="C33" s="1" t="s">
        <v>575</v>
      </c>
      <c r="D33" s="1" t="s">
        <v>210</v>
      </c>
      <c r="F33" s="13">
        <v>3.75</v>
      </c>
      <c r="G33" s="12" t="e">
        <f t="shared" si="2"/>
        <v>#DIV/0!</v>
      </c>
      <c r="Q33" s="1">
        <f>113/141</f>
        <v>0.8014184397163121</v>
      </c>
      <c r="R33" s="3"/>
      <c r="V33" s="1">
        <v>2</v>
      </c>
      <c r="W33" s="1" t="s">
        <v>72</v>
      </c>
      <c r="Y33" s="1" t="s">
        <v>15</v>
      </c>
      <c r="Z33" s="1">
        <v>2</v>
      </c>
      <c r="AA33" s="1" t="s">
        <v>76</v>
      </c>
      <c r="AB33" s="1">
        <v>1</v>
      </c>
      <c r="AC33" s="1" t="s">
        <v>74</v>
      </c>
      <c r="AD33" s="5" t="s">
        <v>78</v>
      </c>
      <c r="AE33" s="13" t="s">
        <v>814</v>
      </c>
      <c r="AF33" s="13">
        <v>3.75</v>
      </c>
      <c r="AG33" s="5"/>
      <c r="AH33" s="1" t="s">
        <v>23</v>
      </c>
      <c r="AI33" s="1">
        <v>2.7</v>
      </c>
      <c r="AJ33" s="1">
        <v>4.25</v>
      </c>
      <c r="AM33" s="2"/>
      <c r="AN33" s="3"/>
      <c r="AP33" s="15">
        <v>20</v>
      </c>
      <c r="AQ33" s="1">
        <v>0.03</v>
      </c>
      <c r="AR33" s="3">
        <v>0.2</v>
      </c>
      <c r="AS33" s="3">
        <v>5</v>
      </c>
      <c r="AT33" s="3"/>
      <c r="AU33" s="3"/>
      <c r="AV33" s="1">
        <v>150</v>
      </c>
      <c r="AW33" s="3">
        <f t="shared" si="11"/>
        <v>30</v>
      </c>
      <c r="AX33" s="3">
        <f t="shared" si="12"/>
        <v>750</v>
      </c>
      <c r="AY33" s="1">
        <v>112</v>
      </c>
      <c r="AZ33" s="1">
        <v>109</v>
      </c>
      <c r="BA33" s="1">
        <v>108</v>
      </c>
      <c r="BD33" s="1">
        <f>BA33/AY33</f>
        <v>0.9642857142857143</v>
      </c>
      <c r="BE33" s="1">
        <f t="shared" si="10"/>
        <v>0.08</v>
      </c>
      <c r="BG33" s="3"/>
    </row>
    <row r="34" spans="1:59" ht="17.25" customHeight="1" x14ac:dyDescent="0.2">
      <c r="A34" s="4" t="s">
        <v>167</v>
      </c>
      <c r="B34" s="4" t="s">
        <v>79</v>
      </c>
      <c r="C34" s="4" t="s">
        <v>576</v>
      </c>
      <c r="D34" s="4" t="s">
        <v>210</v>
      </c>
      <c r="F34" s="12"/>
      <c r="G34" s="12">
        <f t="shared" si="2"/>
        <v>3.768333333333334</v>
      </c>
      <c r="H34" s="4">
        <v>3.61</v>
      </c>
      <c r="I34" s="4">
        <v>3.69</v>
      </c>
      <c r="J34" s="4">
        <v>4.09</v>
      </c>
      <c r="L34" s="4">
        <v>3.55</v>
      </c>
      <c r="M34" s="4">
        <v>3.64</v>
      </c>
      <c r="N34" s="4">
        <v>4.03</v>
      </c>
      <c r="P34" s="4" t="s">
        <v>594</v>
      </c>
      <c r="V34" s="4">
        <v>4</v>
      </c>
      <c r="W34" s="4" t="s">
        <v>67</v>
      </c>
      <c r="Y34" s="4" t="s">
        <v>82</v>
      </c>
      <c r="Z34" s="4">
        <v>1</v>
      </c>
      <c r="AA34" s="4" t="s">
        <v>83</v>
      </c>
      <c r="AB34" s="4">
        <v>1</v>
      </c>
      <c r="AC34" s="4" t="s">
        <v>84</v>
      </c>
      <c r="AD34" s="6" t="s">
        <v>85</v>
      </c>
      <c r="AE34" s="12" t="s">
        <v>815</v>
      </c>
      <c r="AF34" s="12"/>
      <c r="AG34" s="6"/>
      <c r="AH34" s="4" t="s">
        <v>23</v>
      </c>
      <c r="AI34" s="4">
        <v>3</v>
      </c>
      <c r="AJ34" s="4">
        <v>4.3</v>
      </c>
      <c r="AM34" s="10" t="s">
        <v>80</v>
      </c>
      <c r="AR34" s="7">
        <v>0.2</v>
      </c>
      <c r="AS34" s="7">
        <v>0.2</v>
      </c>
      <c r="AV34" s="4">
        <v>111</v>
      </c>
      <c r="AW34" s="7">
        <f>AV34*AR34</f>
        <v>22.200000000000003</v>
      </c>
      <c r="AX34" s="7">
        <f t="shared" si="12"/>
        <v>22.200000000000003</v>
      </c>
      <c r="AY34" s="4">
        <v>112</v>
      </c>
      <c r="AZ34" s="4">
        <v>102</v>
      </c>
      <c r="BA34" s="4" t="s">
        <v>87</v>
      </c>
      <c r="BE34" s="4">
        <f>(AY34-AZ34)/25</f>
        <v>0.4</v>
      </c>
    </row>
    <row r="35" spans="1:59" s="1" customFormat="1" ht="19.5" customHeight="1" x14ac:dyDescent="0.2">
      <c r="A35" s="1" t="s">
        <v>167</v>
      </c>
      <c r="B35" s="1" t="s">
        <v>79</v>
      </c>
      <c r="C35" s="1" t="s">
        <v>576</v>
      </c>
      <c r="D35" s="1" t="s">
        <v>210</v>
      </c>
      <c r="F35" s="13"/>
      <c r="G35" s="12" t="e">
        <f t="shared" si="2"/>
        <v>#DIV/0!</v>
      </c>
      <c r="R35" s="3"/>
      <c r="V35" s="1">
        <v>4</v>
      </c>
      <c r="W35" s="1" t="s">
        <v>67</v>
      </c>
      <c r="Y35" s="1" t="s">
        <v>82</v>
      </c>
      <c r="Z35" s="1">
        <v>1</v>
      </c>
      <c r="AA35" s="1" t="s">
        <v>83</v>
      </c>
      <c r="AB35" s="1">
        <v>1</v>
      </c>
      <c r="AC35" s="1" t="s">
        <v>84</v>
      </c>
      <c r="AD35" s="5" t="s">
        <v>85</v>
      </c>
      <c r="AE35" s="13" t="s">
        <v>815</v>
      </c>
      <c r="AF35" s="13"/>
      <c r="AG35" s="5"/>
      <c r="AH35" s="1" t="s">
        <v>23</v>
      </c>
      <c r="AI35" s="1">
        <v>3</v>
      </c>
      <c r="AJ35" s="1">
        <v>4.5</v>
      </c>
      <c r="AM35" s="2"/>
      <c r="AN35" s="3"/>
      <c r="AP35" s="15"/>
      <c r="AR35" s="3">
        <v>0.2</v>
      </c>
      <c r="AS35" s="3">
        <v>0.2</v>
      </c>
      <c r="AT35" s="3"/>
      <c r="AU35" s="3"/>
      <c r="AV35" s="1">
        <v>140</v>
      </c>
      <c r="AW35" s="3">
        <f t="shared" ref="AW35:AW41" si="13">AV35*AR35</f>
        <v>28</v>
      </c>
      <c r="AX35" s="3">
        <f t="shared" si="12"/>
        <v>28</v>
      </c>
      <c r="AY35" s="1">
        <v>127</v>
      </c>
      <c r="AZ35" s="1">
        <v>130</v>
      </c>
      <c r="BA35" s="1">
        <v>130</v>
      </c>
      <c r="BD35" s="1">
        <f t="shared" ref="BD35:BD40" si="14">BA35/AY35</f>
        <v>1.0236220472440944</v>
      </c>
      <c r="BE35" s="1">
        <f t="shared" si="10"/>
        <v>-0.06</v>
      </c>
      <c r="BG35" s="3"/>
    </row>
    <row r="36" spans="1:59" ht="17.25" customHeight="1" x14ac:dyDescent="0.2">
      <c r="A36" s="4" t="s">
        <v>167</v>
      </c>
      <c r="B36" s="4" t="s">
        <v>79</v>
      </c>
      <c r="C36" s="4" t="s">
        <v>576</v>
      </c>
      <c r="D36" s="4" t="s">
        <v>210</v>
      </c>
      <c r="F36" s="12">
        <v>3.67</v>
      </c>
      <c r="G36" s="12" t="e">
        <f t="shared" si="2"/>
        <v>#DIV/0!</v>
      </c>
      <c r="V36" s="4">
        <v>4</v>
      </c>
      <c r="W36" s="4" t="s">
        <v>67</v>
      </c>
      <c r="Y36" s="4" t="s">
        <v>82</v>
      </c>
      <c r="Z36" s="4">
        <v>1</v>
      </c>
      <c r="AA36" s="4" t="s">
        <v>83</v>
      </c>
      <c r="AB36" s="4">
        <v>1</v>
      </c>
      <c r="AC36" s="4" t="s">
        <v>84</v>
      </c>
      <c r="AD36" s="6" t="s">
        <v>85</v>
      </c>
      <c r="AE36" s="12" t="s">
        <v>815</v>
      </c>
      <c r="AF36" s="12">
        <v>3.67</v>
      </c>
      <c r="AG36" s="6"/>
      <c r="AH36" s="4" t="s">
        <v>23</v>
      </c>
      <c r="AI36" s="4">
        <v>3</v>
      </c>
      <c r="AJ36" s="4">
        <v>4.8</v>
      </c>
      <c r="AM36" s="10"/>
      <c r="AR36" s="7">
        <v>0.2</v>
      </c>
      <c r="AS36" s="7">
        <v>0.2</v>
      </c>
      <c r="AV36" s="4">
        <v>167</v>
      </c>
      <c r="AW36" s="7">
        <f t="shared" si="13"/>
        <v>33.4</v>
      </c>
      <c r="AX36" s="7">
        <f t="shared" si="12"/>
        <v>33.4</v>
      </c>
      <c r="AY36" s="4">
        <v>155</v>
      </c>
      <c r="AZ36" s="4">
        <v>146</v>
      </c>
      <c r="BA36" s="4">
        <v>141</v>
      </c>
      <c r="BD36" s="4">
        <f t="shared" si="14"/>
        <v>0.9096774193548387</v>
      </c>
      <c r="BE36" s="4">
        <f t="shared" si="10"/>
        <v>0.28000000000000003</v>
      </c>
      <c r="BG36" s="7">
        <v>0.82758620689655171</v>
      </c>
    </row>
    <row r="37" spans="1:59" s="1" customFormat="1" ht="19.5" customHeight="1" x14ac:dyDescent="0.2">
      <c r="A37" s="1">
        <v>23</v>
      </c>
      <c r="B37" s="1" t="s">
        <v>88</v>
      </c>
      <c r="C37" s="1" t="s">
        <v>577</v>
      </c>
      <c r="D37" s="1" t="s">
        <v>210</v>
      </c>
      <c r="F37" s="13"/>
      <c r="G37" s="12">
        <f t="shared" si="2"/>
        <v>4.3166666666666664</v>
      </c>
      <c r="H37" s="1">
        <v>4.26</v>
      </c>
      <c r="I37" s="1">
        <v>4.5</v>
      </c>
      <c r="L37" s="1">
        <v>4.1900000000000004</v>
      </c>
      <c r="R37" s="3"/>
      <c r="V37" s="1">
        <v>4</v>
      </c>
      <c r="W37" s="1" t="s">
        <v>107</v>
      </c>
      <c r="Y37" s="1" t="s">
        <v>15</v>
      </c>
      <c r="Z37" s="1">
        <v>2</v>
      </c>
      <c r="AA37" s="1" t="s">
        <v>89</v>
      </c>
      <c r="AB37" s="1">
        <v>2</v>
      </c>
      <c r="AC37" s="1" t="s">
        <v>90</v>
      </c>
      <c r="AD37" s="5" t="s">
        <v>91</v>
      </c>
      <c r="AE37" s="13" t="s">
        <v>816</v>
      </c>
      <c r="AF37" s="13"/>
      <c r="AG37" s="5"/>
      <c r="AH37" s="1" t="s">
        <v>23</v>
      </c>
      <c r="AI37" s="1">
        <v>3</v>
      </c>
      <c r="AJ37" s="1">
        <v>4.4000000000000004</v>
      </c>
      <c r="AM37" s="2"/>
      <c r="AN37" s="3"/>
      <c r="AP37" s="15"/>
      <c r="AR37" s="3">
        <v>0.1</v>
      </c>
      <c r="AS37" s="3">
        <v>0.1</v>
      </c>
      <c r="AT37" s="3"/>
      <c r="AU37" s="3"/>
      <c r="AV37" s="1">
        <v>156</v>
      </c>
      <c r="AW37" s="3">
        <f t="shared" si="13"/>
        <v>15.600000000000001</v>
      </c>
      <c r="AX37" s="3">
        <f t="shared" si="12"/>
        <v>15.600000000000001</v>
      </c>
      <c r="AY37" s="1">
        <v>101</v>
      </c>
      <c r="AZ37" s="1">
        <v>85</v>
      </c>
      <c r="BA37" s="1" t="s">
        <v>87</v>
      </c>
      <c r="BE37" s="1">
        <f>(AY37-AZ37)/25</f>
        <v>0.64</v>
      </c>
      <c r="BG37" s="3"/>
    </row>
    <row r="38" spans="1:59" ht="17.25" customHeight="1" x14ac:dyDescent="0.2">
      <c r="A38" s="4">
        <v>23</v>
      </c>
      <c r="B38" s="4" t="s">
        <v>88</v>
      </c>
      <c r="C38" s="4" t="s">
        <v>577</v>
      </c>
      <c r="D38" s="4" t="s">
        <v>210</v>
      </c>
      <c r="F38" s="12"/>
      <c r="G38" s="12" t="e">
        <f t="shared" si="2"/>
        <v>#DIV/0!</v>
      </c>
      <c r="V38" s="4">
        <v>4</v>
      </c>
      <c r="W38" s="4" t="s">
        <v>107</v>
      </c>
      <c r="Y38" s="4" t="s">
        <v>15</v>
      </c>
      <c r="Z38" s="4">
        <v>2</v>
      </c>
      <c r="AA38" s="4" t="s">
        <v>96</v>
      </c>
      <c r="AB38" s="4">
        <v>1</v>
      </c>
      <c r="AC38" s="4" t="s">
        <v>90</v>
      </c>
      <c r="AD38" s="6" t="s">
        <v>91</v>
      </c>
      <c r="AE38" s="12" t="s">
        <v>816</v>
      </c>
      <c r="AF38" s="12"/>
      <c r="AG38" s="6"/>
      <c r="AH38" s="4" t="s">
        <v>23</v>
      </c>
      <c r="AI38" s="4">
        <v>3</v>
      </c>
      <c r="AJ38" s="4">
        <v>4.4000000000000004</v>
      </c>
      <c r="AM38" s="10"/>
      <c r="AR38" s="7">
        <v>0.1</v>
      </c>
      <c r="AS38" s="7">
        <v>0.1</v>
      </c>
      <c r="AV38" s="4">
        <v>156</v>
      </c>
      <c r="AW38" s="7">
        <f t="shared" si="13"/>
        <v>15.600000000000001</v>
      </c>
      <c r="AX38" s="7">
        <f t="shared" si="12"/>
        <v>15.600000000000001</v>
      </c>
      <c r="AY38" s="4">
        <v>113</v>
      </c>
      <c r="AZ38" s="4">
        <v>80</v>
      </c>
      <c r="BA38" s="4" t="s">
        <v>87</v>
      </c>
      <c r="BE38" s="4">
        <f>(AY38-AZ38)/25</f>
        <v>1.32</v>
      </c>
    </row>
    <row r="39" spans="1:59" s="1" customFormat="1" ht="19.5" customHeight="1" x14ac:dyDescent="0.2">
      <c r="A39" s="1" t="s">
        <v>167</v>
      </c>
      <c r="B39" s="1" t="s">
        <v>100</v>
      </c>
      <c r="C39" s="1" t="s">
        <v>578</v>
      </c>
      <c r="D39" s="1" t="s">
        <v>210</v>
      </c>
      <c r="F39" s="13">
        <v>3.32</v>
      </c>
      <c r="G39" s="12">
        <f t="shared" si="2"/>
        <v>3.4</v>
      </c>
      <c r="L39" s="1">
        <v>3.4</v>
      </c>
      <c r="P39" s="1" t="s">
        <v>595</v>
      </c>
      <c r="Q39" s="1">
        <f>143/160</f>
        <v>0.89375000000000004</v>
      </c>
      <c r="R39" s="3">
        <f>105/143</f>
        <v>0.73426573426573427</v>
      </c>
      <c r="S39" s="1" t="s">
        <v>664</v>
      </c>
      <c r="V39" s="1">
        <v>5</v>
      </c>
      <c r="W39" s="1" t="s">
        <v>52</v>
      </c>
      <c r="Y39" s="1" t="s">
        <v>15</v>
      </c>
      <c r="Z39" s="1">
        <v>2</v>
      </c>
      <c r="AA39" s="1" t="s">
        <v>99</v>
      </c>
      <c r="AB39" s="1">
        <v>1</v>
      </c>
      <c r="AC39" s="1" t="s">
        <v>98</v>
      </c>
      <c r="AD39" s="5" t="s">
        <v>97</v>
      </c>
      <c r="AE39" s="13" t="s">
        <v>814</v>
      </c>
      <c r="AF39" s="13">
        <v>3.32</v>
      </c>
      <c r="AG39" s="5"/>
      <c r="AH39" s="1" t="s">
        <v>23</v>
      </c>
      <c r="AI39" s="1">
        <v>2.2999999999999998</v>
      </c>
      <c r="AJ39" s="1">
        <v>4.2</v>
      </c>
      <c r="AM39" s="2"/>
      <c r="AN39" s="3"/>
      <c r="AP39" s="15">
        <v>1000</v>
      </c>
      <c r="AQ39" s="1">
        <v>1</v>
      </c>
      <c r="AR39" s="3">
        <v>5</v>
      </c>
      <c r="AS39" s="3">
        <v>5</v>
      </c>
      <c r="AT39" s="3"/>
      <c r="AU39" s="3"/>
      <c r="AV39" s="1">
        <v>170</v>
      </c>
      <c r="AW39" s="3">
        <f t="shared" si="13"/>
        <v>850</v>
      </c>
      <c r="AX39" s="3">
        <f t="shared" si="12"/>
        <v>850</v>
      </c>
      <c r="AY39" s="1">
        <v>125</v>
      </c>
      <c r="AZ39" s="1">
        <v>126</v>
      </c>
      <c r="BA39" s="1">
        <v>125</v>
      </c>
      <c r="BD39" s="1">
        <f>BA39/AY39</f>
        <v>1</v>
      </c>
      <c r="BE39" s="1">
        <f t="shared" ref="BE39:BE40" si="15">(AY39-AZ39)/25</f>
        <v>-0.04</v>
      </c>
      <c r="BG39" s="3"/>
    </row>
    <row r="40" spans="1:59" ht="17.25" customHeight="1" x14ac:dyDescent="0.2">
      <c r="A40" s="4" t="s">
        <v>167</v>
      </c>
      <c r="B40" s="4" t="s">
        <v>100</v>
      </c>
      <c r="C40" s="4" t="s">
        <v>578</v>
      </c>
      <c r="D40" s="4" t="s">
        <v>210</v>
      </c>
      <c r="F40" s="12">
        <v>3.24</v>
      </c>
      <c r="G40" s="12" t="e">
        <f t="shared" si="2"/>
        <v>#DIV/0!</v>
      </c>
      <c r="Q40" s="4">
        <f>143/160</f>
        <v>0.89375000000000004</v>
      </c>
      <c r="R40" s="7">
        <f>105/143</f>
        <v>0.73426573426573427</v>
      </c>
      <c r="V40" s="4">
        <v>5</v>
      </c>
      <c r="W40" s="4" t="s">
        <v>52</v>
      </c>
      <c r="Y40" s="4" t="s">
        <v>15</v>
      </c>
      <c r="Z40" s="4">
        <v>2</v>
      </c>
      <c r="AA40" s="4" t="s">
        <v>99</v>
      </c>
      <c r="AB40" s="4">
        <v>1</v>
      </c>
      <c r="AC40" s="4" t="s">
        <v>98</v>
      </c>
      <c r="AD40" s="6" t="s">
        <v>97</v>
      </c>
      <c r="AE40" s="12" t="s">
        <v>814</v>
      </c>
      <c r="AF40" s="12">
        <v>3.24</v>
      </c>
      <c r="AG40" s="6"/>
      <c r="AH40" s="4" t="s">
        <v>23</v>
      </c>
      <c r="AI40" s="4">
        <v>2.2999999999999998</v>
      </c>
      <c r="AJ40" s="4">
        <v>4.2</v>
      </c>
      <c r="AM40" s="10"/>
      <c r="AP40" s="15">
        <v>1000</v>
      </c>
      <c r="AQ40" s="4">
        <v>1</v>
      </c>
      <c r="AR40" s="7">
        <v>10</v>
      </c>
      <c r="AS40" s="7">
        <v>10</v>
      </c>
      <c r="AV40" s="4">
        <v>170</v>
      </c>
      <c r="AW40" s="7">
        <f t="shared" si="13"/>
        <v>1700</v>
      </c>
      <c r="AX40" s="7">
        <f t="shared" si="12"/>
        <v>1700</v>
      </c>
      <c r="AY40" s="4">
        <v>104</v>
      </c>
      <c r="AZ40" s="4">
        <v>102</v>
      </c>
      <c r="BA40" s="4">
        <v>104</v>
      </c>
      <c r="BD40" s="4">
        <f t="shared" si="14"/>
        <v>1</v>
      </c>
      <c r="BE40" s="4">
        <f t="shared" si="15"/>
        <v>0.08</v>
      </c>
    </row>
    <row r="41" spans="1:59" s="1" customFormat="1" ht="19.5" customHeight="1" x14ac:dyDescent="0.2">
      <c r="A41" s="1">
        <v>23</v>
      </c>
      <c r="B41" s="1" t="s">
        <v>88</v>
      </c>
      <c r="C41" s="1" t="s">
        <v>576</v>
      </c>
      <c r="D41" s="1" t="s">
        <v>210</v>
      </c>
      <c r="F41" s="13">
        <v>4.05</v>
      </c>
      <c r="G41" s="12">
        <f t="shared" si="2"/>
        <v>4.1050000000000004</v>
      </c>
      <c r="H41" s="1">
        <v>4.16</v>
      </c>
      <c r="L41" s="1">
        <v>4.05</v>
      </c>
      <c r="P41" s="1" t="s">
        <v>596</v>
      </c>
      <c r="Q41" s="1">
        <f>111.5/128</f>
        <v>0.87109375</v>
      </c>
      <c r="R41" s="3"/>
      <c r="V41" s="1">
        <v>4</v>
      </c>
      <c r="W41" s="1" t="s">
        <v>107</v>
      </c>
      <c r="Y41" s="1" t="s">
        <v>82</v>
      </c>
      <c r="Z41" s="1">
        <v>1</v>
      </c>
      <c r="AA41" s="1" t="s">
        <v>96</v>
      </c>
      <c r="AB41" s="1">
        <v>1</v>
      </c>
      <c r="AC41" s="1" t="s">
        <v>101</v>
      </c>
      <c r="AD41" s="5" t="s">
        <v>102</v>
      </c>
      <c r="AE41" s="13" t="s">
        <v>816</v>
      </c>
      <c r="AF41" s="13">
        <v>4.05</v>
      </c>
      <c r="AG41" s="5"/>
      <c r="AH41" s="1" t="s">
        <v>23</v>
      </c>
      <c r="AI41" s="1">
        <v>3</v>
      </c>
      <c r="AJ41" s="1">
        <v>4.5</v>
      </c>
      <c r="AM41" s="2"/>
      <c r="AN41" s="3"/>
      <c r="AP41" s="15"/>
      <c r="AR41" s="3">
        <v>0.5</v>
      </c>
      <c r="AS41" s="3">
        <v>0.5</v>
      </c>
      <c r="AT41" s="3"/>
      <c r="AU41" s="3"/>
      <c r="AV41" s="1">
        <v>156</v>
      </c>
      <c r="AW41" s="3">
        <f t="shared" si="13"/>
        <v>78</v>
      </c>
      <c r="AX41" s="3">
        <f t="shared" si="12"/>
        <v>78</v>
      </c>
      <c r="AY41" s="1">
        <v>128</v>
      </c>
      <c r="AZ41" s="1">
        <v>125.5</v>
      </c>
      <c r="BA41" s="1">
        <v>124</v>
      </c>
      <c r="BB41" s="1">
        <v>121</v>
      </c>
      <c r="BD41" s="1">
        <f>BA41/AY41</f>
        <v>0.96875</v>
      </c>
      <c r="BE41" s="1">
        <f>(AY41-BA41)/50</f>
        <v>0.08</v>
      </c>
      <c r="BG41" s="3">
        <f>137.4/143.75</f>
        <v>0.95582608695652183</v>
      </c>
    </row>
    <row r="42" spans="1:59" ht="17.25" customHeight="1" x14ac:dyDescent="0.2">
      <c r="A42" s="4">
        <v>23</v>
      </c>
      <c r="B42" s="4" t="s">
        <v>104</v>
      </c>
      <c r="C42" s="4" t="s">
        <v>576</v>
      </c>
      <c r="D42" s="4" t="s">
        <v>210</v>
      </c>
      <c r="F42" s="12"/>
      <c r="G42" s="12">
        <f t="shared" si="2"/>
        <v>4.0250000000000004</v>
      </c>
      <c r="H42" s="4">
        <v>3.75</v>
      </c>
      <c r="I42" s="4">
        <v>4.3</v>
      </c>
      <c r="L42" s="4">
        <v>3.75</v>
      </c>
      <c r="M42" s="4">
        <v>4.3</v>
      </c>
      <c r="P42" s="4" t="s">
        <v>597</v>
      </c>
      <c r="V42" s="4">
        <v>4</v>
      </c>
      <c r="W42" s="4" t="s">
        <v>107</v>
      </c>
      <c r="Y42" s="4" t="s">
        <v>82</v>
      </c>
      <c r="Z42" s="4">
        <v>1</v>
      </c>
      <c r="AA42" s="4" t="s">
        <v>96</v>
      </c>
      <c r="AB42" s="4">
        <v>1</v>
      </c>
      <c r="AC42" s="4" t="s">
        <v>105</v>
      </c>
      <c r="AD42" s="6" t="s">
        <v>106</v>
      </c>
      <c r="AE42" s="12" t="s">
        <v>817</v>
      </c>
      <c r="AF42" s="12"/>
      <c r="AG42" s="6"/>
      <c r="AH42" s="4" t="s">
        <v>23</v>
      </c>
      <c r="AI42" s="4">
        <v>3</v>
      </c>
      <c r="AJ42" s="4">
        <v>4.5999999999999996</v>
      </c>
      <c r="AM42" s="10" t="s">
        <v>80</v>
      </c>
      <c r="AR42" s="7">
        <v>0.5</v>
      </c>
      <c r="AS42" s="7">
        <v>0.5</v>
      </c>
      <c r="AV42" s="4">
        <v>128</v>
      </c>
      <c r="AW42" s="7">
        <f>AR42*AV42</f>
        <v>64</v>
      </c>
      <c r="AX42" s="7">
        <f>AV42*AS42</f>
        <v>64</v>
      </c>
      <c r="AY42" s="4">
        <v>118</v>
      </c>
      <c r="AZ42" s="4">
        <v>118</v>
      </c>
      <c r="BA42" s="4">
        <v>118</v>
      </c>
      <c r="BB42" s="4">
        <v>116</v>
      </c>
      <c r="BD42" s="4">
        <f t="shared" ref="BD42:BD55" si="16">BA42/AY42</f>
        <v>1</v>
      </c>
      <c r="BE42" s="4">
        <f>(AY42-BA42)/50</f>
        <v>0</v>
      </c>
    </row>
    <row r="43" spans="1:59" s="1" customFormat="1" ht="19.5" customHeight="1" x14ac:dyDescent="0.2">
      <c r="A43" s="1" t="s">
        <v>167</v>
      </c>
      <c r="B43" s="1" t="s">
        <v>108</v>
      </c>
      <c r="C43" s="1" t="s">
        <v>579</v>
      </c>
      <c r="D43" s="1" t="s">
        <v>210</v>
      </c>
      <c r="F43" s="13">
        <v>3.1</v>
      </c>
      <c r="G43" s="12">
        <f t="shared" si="2"/>
        <v>3.25</v>
      </c>
      <c r="H43" s="1">
        <v>3</v>
      </c>
      <c r="L43" s="1">
        <v>3.5</v>
      </c>
      <c r="R43" s="3"/>
      <c r="V43" s="1">
        <v>5</v>
      </c>
      <c r="W43" s="1" t="s">
        <v>50</v>
      </c>
      <c r="Y43" s="1" t="s">
        <v>15</v>
      </c>
      <c r="Z43" s="1">
        <v>2</v>
      </c>
      <c r="AA43" s="1" t="s">
        <v>75</v>
      </c>
      <c r="AB43" s="1">
        <v>1</v>
      </c>
      <c r="AC43" s="1" t="s">
        <v>455</v>
      </c>
      <c r="AD43" s="5" t="s">
        <v>109</v>
      </c>
      <c r="AE43" s="13"/>
      <c r="AF43" s="13">
        <v>3.1</v>
      </c>
      <c r="AG43" s="5"/>
      <c r="AH43" s="1" t="s">
        <v>23</v>
      </c>
      <c r="AI43" s="1">
        <v>2</v>
      </c>
      <c r="AJ43" s="1">
        <v>4.5</v>
      </c>
      <c r="AL43" s="1">
        <v>2220</v>
      </c>
      <c r="AM43" s="2"/>
      <c r="AN43" s="3"/>
      <c r="AP43" s="15">
        <v>200</v>
      </c>
      <c r="AQ43" s="1">
        <v>0.2</v>
      </c>
      <c r="AR43" s="3">
        <v>0.1</v>
      </c>
      <c r="AS43" s="3">
        <v>0.1</v>
      </c>
      <c r="AT43" s="3"/>
      <c r="AU43" s="3"/>
      <c r="AV43" s="1">
        <v>135</v>
      </c>
      <c r="AW43" s="3">
        <f t="shared" ref="AW43" si="17">AV43*AS43</f>
        <v>13.5</v>
      </c>
      <c r="AX43" s="3">
        <f t="shared" ref="AX43" si="18">AV43*AS43</f>
        <v>13.5</v>
      </c>
      <c r="AY43" s="1">
        <v>130</v>
      </c>
      <c r="AZ43" s="1">
        <v>111</v>
      </c>
      <c r="BA43" s="1">
        <v>108.5</v>
      </c>
      <c r="BD43" s="1">
        <f t="shared" si="16"/>
        <v>0.83461538461538465</v>
      </c>
      <c r="BE43" s="1">
        <f>(AY43-BA43)/50</f>
        <v>0.43</v>
      </c>
      <c r="BG43" s="3"/>
    </row>
    <row r="44" spans="1:59" ht="17.25" customHeight="1" x14ac:dyDescent="0.2">
      <c r="A44" s="4" t="s">
        <v>167</v>
      </c>
      <c r="B44" s="4" t="s">
        <v>110</v>
      </c>
      <c r="C44" s="4" t="s">
        <v>580</v>
      </c>
      <c r="D44" s="4" t="s">
        <v>210</v>
      </c>
      <c r="F44" s="12">
        <v>3.8</v>
      </c>
      <c r="G44" s="12">
        <f t="shared" si="2"/>
        <v>4</v>
      </c>
      <c r="H44" s="4">
        <v>4</v>
      </c>
      <c r="L44" s="4">
        <v>4</v>
      </c>
      <c r="P44" s="4" t="s">
        <v>599</v>
      </c>
      <c r="Q44" s="4">
        <f>160/190</f>
        <v>0.84210526315789469</v>
      </c>
      <c r="V44" s="4">
        <v>3</v>
      </c>
      <c r="W44" s="4" t="s">
        <v>52</v>
      </c>
      <c r="Y44" s="4" t="s">
        <v>15</v>
      </c>
      <c r="Z44" s="4">
        <v>2</v>
      </c>
      <c r="AA44" s="4" t="s">
        <v>113</v>
      </c>
      <c r="AB44" s="4">
        <v>1</v>
      </c>
      <c r="AC44" s="4" t="s">
        <v>114</v>
      </c>
      <c r="AD44" s="6" t="s">
        <v>115</v>
      </c>
      <c r="AE44" s="12" t="s">
        <v>818</v>
      </c>
      <c r="AF44" s="12">
        <v>3.8</v>
      </c>
      <c r="AG44" s="6"/>
      <c r="AH44" s="4" t="s">
        <v>23</v>
      </c>
      <c r="AI44" s="4">
        <v>2.5</v>
      </c>
      <c r="AJ44" s="4">
        <v>4.5</v>
      </c>
      <c r="AM44" s="10" t="s">
        <v>112</v>
      </c>
      <c r="AP44" s="15">
        <v>1000</v>
      </c>
      <c r="AQ44" s="4">
        <v>1</v>
      </c>
      <c r="AS44" s="7">
        <f t="shared" ref="AS44" si="19">AW44/AV44</f>
        <v>5.5E-2</v>
      </c>
      <c r="AV44" s="4">
        <v>200</v>
      </c>
      <c r="AW44" s="7">
        <v>11</v>
      </c>
      <c r="AX44" s="7">
        <v>11</v>
      </c>
      <c r="AY44" s="4">
        <v>196</v>
      </c>
      <c r="AZ44" s="4">
        <v>193</v>
      </c>
      <c r="BG44" s="7">
        <v>0.89497716894977164</v>
      </c>
    </row>
    <row r="45" spans="1:59" s="1" customFormat="1" ht="19.5" customHeight="1" x14ac:dyDescent="0.2">
      <c r="A45" s="1" t="s">
        <v>167</v>
      </c>
      <c r="B45" s="1" t="s">
        <v>119</v>
      </c>
      <c r="D45" s="1" t="s">
        <v>210</v>
      </c>
      <c r="F45" s="13">
        <v>4.7</v>
      </c>
      <c r="G45" s="12">
        <f t="shared" si="2"/>
        <v>4.7250000000000005</v>
      </c>
      <c r="H45" s="1">
        <v>4.74</v>
      </c>
      <c r="I45" s="1">
        <v>4.76</v>
      </c>
      <c r="L45" s="1">
        <v>4.6900000000000004</v>
      </c>
      <c r="M45" s="1">
        <v>4.71</v>
      </c>
      <c r="P45" s="1" t="s">
        <v>672</v>
      </c>
      <c r="R45" s="3"/>
      <c r="V45" s="1">
        <v>2</v>
      </c>
      <c r="W45" s="1" t="s">
        <v>67</v>
      </c>
      <c r="Y45" s="1" t="s">
        <v>15</v>
      </c>
      <c r="Z45" s="1">
        <v>2</v>
      </c>
      <c r="AA45" s="1" t="s">
        <v>99</v>
      </c>
      <c r="AB45" s="1">
        <v>1</v>
      </c>
      <c r="AC45" s="1" t="s">
        <v>116</v>
      </c>
      <c r="AD45" s="5" t="s">
        <v>117</v>
      </c>
      <c r="AE45" s="13" t="s">
        <v>819</v>
      </c>
      <c r="AF45" s="13">
        <v>4.7</v>
      </c>
      <c r="AG45" s="5"/>
      <c r="AH45" s="1" t="s">
        <v>23</v>
      </c>
      <c r="AI45" s="1">
        <v>3.5</v>
      </c>
      <c r="AJ45" s="1">
        <v>5</v>
      </c>
      <c r="AL45" s="1" t="s">
        <v>118</v>
      </c>
      <c r="AM45" s="2"/>
      <c r="AN45" s="3"/>
      <c r="AP45" s="15"/>
      <c r="AQ45" s="1">
        <v>1</v>
      </c>
      <c r="AR45" s="3"/>
      <c r="AS45" s="3">
        <f t="shared" ref="AS45:AS50" si="20">AW45/AV45</f>
        <v>0.1360544217687075</v>
      </c>
      <c r="AT45" s="3"/>
      <c r="AU45" s="3"/>
      <c r="AV45" s="1">
        <v>147</v>
      </c>
      <c r="AW45" s="3">
        <v>20</v>
      </c>
      <c r="AX45" s="3">
        <v>20</v>
      </c>
      <c r="AY45" s="1">
        <v>134</v>
      </c>
      <c r="AZ45" s="1">
        <v>134</v>
      </c>
      <c r="BA45" s="1">
        <v>131</v>
      </c>
      <c r="BD45" s="1">
        <f t="shared" si="16"/>
        <v>0.97761194029850751</v>
      </c>
      <c r="BE45" s="1">
        <f>(AY45-BA45)/50</f>
        <v>0.06</v>
      </c>
      <c r="BG45" s="3">
        <v>0.97101449275362317</v>
      </c>
    </row>
    <row r="46" spans="1:59" ht="17.25" customHeight="1" x14ac:dyDescent="0.2">
      <c r="A46" s="4" t="s">
        <v>167</v>
      </c>
      <c r="B46" s="4" t="s">
        <v>120</v>
      </c>
      <c r="D46" s="4" t="s">
        <v>210</v>
      </c>
      <c r="F46" s="12">
        <v>4.7</v>
      </c>
      <c r="G46" s="12" t="e">
        <f t="shared" si="2"/>
        <v>#DIV/0!</v>
      </c>
      <c r="V46" s="4">
        <v>2</v>
      </c>
      <c r="W46" s="4" t="s">
        <v>67</v>
      </c>
      <c r="Y46" s="4" t="s">
        <v>15</v>
      </c>
      <c r="Z46" s="4">
        <v>2</v>
      </c>
      <c r="AA46" s="4" t="s">
        <v>99</v>
      </c>
      <c r="AB46" s="4">
        <v>1</v>
      </c>
      <c r="AC46" s="4" t="s">
        <v>116</v>
      </c>
      <c r="AD46" s="6" t="s">
        <v>117</v>
      </c>
      <c r="AE46" s="12" t="s">
        <v>819</v>
      </c>
      <c r="AF46" s="12">
        <v>4.7</v>
      </c>
      <c r="AG46" s="6"/>
      <c r="AH46" s="4" t="s">
        <v>23</v>
      </c>
      <c r="AI46" s="4">
        <v>3.5</v>
      </c>
      <c r="AJ46" s="4">
        <v>5</v>
      </c>
      <c r="AL46" s="4" t="s">
        <v>118</v>
      </c>
      <c r="AM46" s="10"/>
      <c r="AQ46" s="4">
        <v>1</v>
      </c>
      <c r="AS46" s="7">
        <f t="shared" si="20"/>
        <v>0.1360544217687075</v>
      </c>
      <c r="AT46" s="7">
        <f>7+58.7*0.5+1.45*54.9+64+0.05*47.9</f>
        <v>182.35</v>
      </c>
      <c r="AU46" s="7">
        <f t="shared" ref="AU46:AU51" si="21">96485.3/3600/AT46</f>
        <v>0.14697818602809007</v>
      </c>
      <c r="AV46" s="4">
        <v>147</v>
      </c>
      <c r="AW46" s="7">
        <v>20</v>
      </c>
      <c r="AX46" s="7">
        <v>20</v>
      </c>
      <c r="AY46" s="4">
        <v>135</v>
      </c>
      <c r="AZ46" s="4">
        <v>134</v>
      </c>
      <c r="BA46" s="4">
        <v>131</v>
      </c>
      <c r="BD46" s="4">
        <f t="shared" si="16"/>
        <v>0.97037037037037033</v>
      </c>
      <c r="BE46" s="4">
        <f t="shared" ref="BE46:BE55" si="22">(AY46-BA46)/50</f>
        <v>0.08</v>
      </c>
      <c r="BG46" s="7">
        <f>135/139</f>
        <v>0.97122302158273377</v>
      </c>
    </row>
    <row r="47" spans="1:59" s="1" customFormat="1" ht="19.5" customHeight="1" x14ac:dyDescent="0.2">
      <c r="A47" s="1" t="s">
        <v>167</v>
      </c>
      <c r="B47" s="1" t="s">
        <v>121</v>
      </c>
      <c r="D47" s="1" t="s">
        <v>210</v>
      </c>
      <c r="F47" s="13">
        <v>4.7</v>
      </c>
      <c r="G47" s="12">
        <f t="shared" si="2"/>
        <v>4.74</v>
      </c>
      <c r="H47" s="1">
        <v>4.75</v>
      </c>
      <c r="I47" s="1">
        <v>4.7699999999999996</v>
      </c>
      <c r="L47" s="1">
        <v>4.71</v>
      </c>
      <c r="M47" s="1">
        <v>4.7300000000000004</v>
      </c>
      <c r="R47" s="3"/>
      <c r="V47" s="1">
        <v>2</v>
      </c>
      <c r="W47" s="1" t="s">
        <v>67</v>
      </c>
      <c r="Y47" s="1" t="s">
        <v>15</v>
      </c>
      <c r="Z47" s="1">
        <v>2</v>
      </c>
      <c r="AA47" s="1" t="s">
        <v>99</v>
      </c>
      <c r="AB47" s="1">
        <v>1</v>
      </c>
      <c r="AC47" s="1" t="s">
        <v>116</v>
      </c>
      <c r="AD47" s="5" t="s">
        <v>117</v>
      </c>
      <c r="AE47" s="13" t="s">
        <v>819</v>
      </c>
      <c r="AF47" s="13">
        <v>4.7</v>
      </c>
      <c r="AG47" s="5"/>
      <c r="AH47" s="1" t="s">
        <v>23</v>
      </c>
      <c r="AI47" s="1">
        <v>3.5</v>
      </c>
      <c r="AJ47" s="1">
        <v>5</v>
      </c>
      <c r="AL47" s="1" t="s">
        <v>118</v>
      </c>
      <c r="AM47" s="2"/>
      <c r="AN47" s="3"/>
      <c r="AP47" s="15"/>
      <c r="AQ47" s="1">
        <v>1</v>
      </c>
      <c r="AR47" s="3"/>
      <c r="AS47" s="3">
        <f t="shared" si="20"/>
        <v>0.1360544217687075</v>
      </c>
      <c r="AT47" s="3">
        <f>7+58.7*0.5+1.4*54.9+64+0.1*47.9</f>
        <v>182</v>
      </c>
      <c r="AU47" s="3">
        <f t="shared" si="21"/>
        <v>0.1472608363858364</v>
      </c>
      <c r="AV47" s="1">
        <v>147</v>
      </c>
      <c r="AW47" s="3">
        <v>20</v>
      </c>
      <c r="AX47" s="3">
        <v>20</v>
      </c>
      <c r="AY47" s="1">
        <v>132</v>
      </c>
      <c r="AZ47" s="1">
        <v>131</v>
      </c>
      <c r="BA47" s="1">
        <v>130</v>
      </c>
      <c r="BD47" s="1">
        <f t="shared" si="16"/>
        <v>0.98484848484848486</v>
      </c>
      <c r="BE47" s="1">
        <f t="shared" si="22"/>
        <v>0.04</v>
      </c>
      <c r="BG47" s="3">
        <v>0.97777777777777775</v>
      </c>
    </row>
    <row r="48" spans="1:59" ht="17.25" customHeight="1" x14ac:dyDescent="0.2">
      <c r="A48" s="4" t="s">
        <v>167</v>
      </c>
      <c r="B48" s="4" t="s">
        <v>122</v>
      </c>
      <c r="D48" s="4" t="s">
        <v>210</v>
      </c>
      <c r="F48" s="12">
        <v>4.7</v>
      </c>
      <c r="G48" s="12">
        <f t="shared" si="2"/>
        <v>4.75</v>
      </c>
      <c r="H48" s="4">
        <v>4.76</v>
      </c>
      <c r="I48" s="4">
        <v>4.78</v>
      </c>
      <c r="L48" s="4">
        <v>4.72</v>
      </c>
      <c r="M48" s="4">
        <v>4.74</v>
      </c>
      <c r="V48" s="4">
        <v>2</v>
      </c>
      <c r="W48" s="4" t="s">
        <v>67</v>
      </c>
      <c r="Y48" s="4" t="s">
        <v>15</v>
      </c>
      <c r="Z48" s="4">
        <v>2</v>
      </c>
      <c r="AA48" s="4" t="s">
        <v>99</v>
      </c>
      <c r="AB48" s="4">
        <v>1</v>
      </c>
      <c r="AC48" s="4" t="s">
        <v>116</v>
      </c>
      <c r="AD48" s="6" t="s">
        <v>117</v>
      </c>
      <c r="AE48" s="12" t="s">
        <v>819</v>
      </c>
      <c r="AF48" s="12">
        <v>4.7</v>
      </c>
      <c r="AG48" s="6"/>
      <c r="AH48" s="4" t="s">
        <v>23</v>
      </c>
      <c r="AI48" s="4">
        <v>3.5</v>
      </c>
      <c r="AJ48" s="4">
        <v>5</v>
      </c>
      <c r="AL48" s="4" t="s">
        <v>118</v>
      </c>
      <c r="AM48" s="10"/>
      <c r="AQ48" s="4">
        <v>1</v>
      </c>
      <c r="AS48" s="7">
        <f t="shared" si="20"/>
        <v>0.13513513513513514</v>
      </c>
      <c r="AT48" s="7">
        <f>7+58.7*0.5+1.3*54.9+64+0.2*47.9</f>
        <v>181.3</v>
      </c>
      <c r="AU48" s="7">
        <f t="shared" si="21"/>
        <v>0.14782941104369676</v>
      </c>
      <c r="AV48" s="4">
        <v>148</v>
      </c>
      <c r="AW48" s="7">
        <v>20</v>
      </c>
      <c r="AX48" s="7">
        <v>20</v>
      </c>
      <c r="AY48" s="4">
        <v>129</v>
      </c>
      <c r="AZ48" s="4">
        <v>129</v>
      </c>
      <c r="BA48" s="4">
        <v>126.5</v>
      </c>
      <c r="BD48" s="4">
        <f t="shared" si="16"/>
        <v>0.98062015503875966</v>
      </c>
      <c r="BE48" s="4">
        <f t="shared" si="22"/>
        <v>0.05</v>
      </c>
      <c r="BG48" s="7">
        <f>129/133</f>
        <v>0.96992481203007519</v>
      </c>
    </row>
    <row r="49" spans="1:59" s="1" customFormat="1" ht="19.5" customHeight="1" x14ac:dyDescent="0.2">
      <c r="A49" s="1" t="s">
        <v>167</v>
      </c>
      <c r="B49" s="1" t="s">
        <v>123</v>
      </c>
      <c r="D49" s="1" t="s">
        <v>210</v>
      </c>
      <c r="F49" s="13">
        <v>4.7</v>
      </c>
      <c r="G49" s="12">
        <f t="shared" si="2"/>
        <v>4.7575000000000003</v>
      </c>
      <c r="H49" s="1">
        <v>4.76</v>
      </c>
      <c r="I49" s="1">
        <v>4.79</v>
      </c>
      <c r="L49" s="1">
        <v>4.72</v>
      </c>
      <c r="M49" s="1">
        <v>4.76</v>
      </c>
      <c r="R49" s="3"/>
      <c r="V49" s="1">
        <v>2</v>
      </c>
      <c r="W49" s="1" t="s">
        <v>67</v>
      </c>
      <c r="Y49" s="1" t="s">
        <v>15</v>
      </c>
      <c r="Z49" s="1">
        <v>2</v>
      </c>
      <c r="AA49" s="1" t="s">
        <v>99</v>
      </c>
      <c r="AB49" s="1">
        <v>1</v>
      </c>
      <c r="AC49" s="1" t="s">
        <v>116</v>
      </c>
      <c r="AD49" s="5" t="s">
        <v>117</v>
      </c>
      <c r="AE49" s="13" t="s">
        <v>819</v>
      </c>
      <c r="AF49" s="13">
        <v>4.7</v>
      </c>
      <c r="AG49" s="5"/>
      <c r="AH49" s="1" t="s">
        <v>23</v>
      </c>
      <c r="AI49" s="1">
        <v>3.5</v>
      </c>
      <c r="AJ49" s="1">
        <v>5</v>
      </c>
      <c r="AL49" s="1" t="s">
        <v>118</v>
      </c>
      <c r="AM49" s="2"/>
      <c r="AN49" s="3"/>
      <c r="AP49" s="15"/>
      <c r="AQ49" s="1">
        <v>1</v>
      </c>
      <c r="AR49" s="3"/>
      <c r="AS49" s="3">
        <f t="shared" si="20"/>
        <v>0.13513513513513514</v>
      </c>
      <c r="AT49" s="3">
        <f>7+58.7*0.5+1.2*54.9+64+0.3*47.9</f>
        <v>180.6</v>
      </c>
      <c r="AU49" s="3">
        <f t="shared" si="21"/>
        <v>0.14840239325704443</v>
      </c>
      <c r="AV49" s="1">
        <v>148</v>
      </c>
      <c r="AW49" s="3">
        <v>20</v>
      </c>
      <c r="AX49" s="3">
        <v>20</v>
      </c>
      <c r="AY49" s="1">
        <v>125.5</v>
      </c>
      <c r="AZ49" s="1">
        <v>121</v>
      </c>
      <c r="BA49" s="1">
        <v>118.5</v>
      </c>
      <c r="BD49" s="1">
        <f t="shared" si="16"/>
        <v>0.94422310756972117</v>
      </c>
      <c r="BE49" s="1">
        <f t="shared" si="22"/>
        <v>0.14000000000000001</v>
      </c>
      <c r="BG49" s="3">
        <f>125.5/128.5</f>
        <v>0.97665369649805445</v>
      </c>
    </row>
    <row r="50" spans="1:59" ht="17.25" customHeight="1" x14ac:dyDescent="0.2">
      <c r="A50" s="4" t="s">
        <v>167</v>
      </c>
      <c r="B50" s="4" t="s">
        <v>124</v>
      </c>
      <c r="D50" s="4" t="s">
        <v>210</v>
      </c>
      <c r="F50" s="12">
        <v>4.7</v>
      </c>
      <c r="G50" s="12">
        <f t="shared" si="2"/>
        <v>4.79</v>
      </c>
      <c r="H50" s="4">
        <v>4.78</v>
      </c>
      <c r="L50" s="4">
        <v>4.8</v>
      </c>
      <c r="V50" s="4">
        <v>2</v>
      </c>
      <c r="W50" s="4" t="s">
        <v>67</v>
      </c>
      <c r="Y50" s="4" t="s">
        <v>15</v>
      </c>
      <c r="Z50" s="4">
        <v>2</v>
      </c>
      <c r="AA50" s="4" t="s">
        <v>99</v>
      </c>
      <c r="AB50" s="4">
        <v>1</v>
      </c>
      <c r="AC50" s="4" t="s">
        <v>116</v>
      </c>
      <c r="AD50" s="6" t="s">
        <v>117</v>
      </c>
      <c r="AE50" s="12" t="s">
        <v>819</v>
      </c>
      <c r="AF50" s="12">
        <v>4.7</v>
      </c>
      <c r="AG50" s="6"/>
      <c r="AH50" s="4" t="s">
        <v>23</v>
      </c>
      <c r="AI50" s="4">
        <v>3.5</v>
      </c>
      <c r="AJ50" s="4">
        <v>5</v>
      </c>
      <c r="AL50" s="4" t="s">
        <v>118</v>
      </c>
      <c r="AM50" s="10"/>
      <c r="AQ50" s="4">
        <v>1</v>
      </c>
      <c r="AS50" s="7">
        <f t="shared" si="20"/>
        <v>0.13422818791946309</v>
      </c>
      <c r="AT50" s="7">
        <f>7+58.7*0.5+54.9+64+0.5*47.9</f>
        <v>179.2</v>
      </c>
      <c r="AU50" s="7">
        <f t="shared" si="21"/>
        <v>0.14956178695436509</v>
      </c>
      <c r="AV50" s="4">
        <v>149</v>
      </c>
      <c r="AW50" s="7">
        <v>20</v>
      </c>
      <c r="AX50" s="7">
        <v>20</v>
      </c>
      <c r="AY50" s="4">
        <v>102</v>
      </c>
      <c r="AZ50" s="4">
        <v>81.5</v>
      </c>
      <c r="BA50" s="4">
        <v>76.5</v>
      </c>
      <c r="BD50" s="4">
        <f t="shared" si="16"/>
        <v>0.75</v>
      </c>
      <c r="BE50" s="4">
        <f t="shared" si="22"/>
        <v>0.51</v>
      </c>
      <c r="BG50" s="7">
        <f>102/106</f>
        <v>0.96226415094339623</v>
      </c>
    </row>
    <row r="51" spans="1:59" s="1" customFormat="1" ht="19.5" customHeight="1" x14ac:dyDescent="0.2">
      <c r="A51" s="1" t="s">
        <v>167</v>
      </c>
      <c r="B51" s="1" t="s">
        <v>125</v>
      </c>
      <c r="D51" s="1" t="s">
        <v>210</v>
      </c>
      <c r="F51" s="13"/>
      <c r="G51" s="12" t="e">
        <f t="shared" si="2"/>
        <v>#DIV/0!</v>
      </c>
      <c r="R51" s="3"/>
      <c r="V51" s="1">
        <v>2</v>
      </c>
      <c r="W51" s="1" t="s">
        <v>67</v>
      </c>
      <c r="Y51" s="1" t="s">
        <v>15</v>
      </c>
      <c r="Z51" s="1">
        <v>2</v>
      </c>
      <c r="AA51" s="1" t="s">
        <v>99</v>
      </c>
      <c r="AB51" s="1">
        <v>1</v>
      </c>
      <c r="AC51" s="1" t="s">
        <v>116</v>
      </c>
      <c r="AD51" s="5" t="s">
        <v>117</v>
      </c>
      <c r="AE51" s="13" t="s">
        <v>819</v>
      </c>
      <c r="AF51" s="13"/>
      <c r="AG51" s="5"/>
      <c r="AH51" s="1" t="s">
        <v>23</v>
      </c>
      <c r="AI51" s="1">
        <v>3.5</v>
      </c>
      <c r="AJ51" s="1">
        <v>5</v>
      </c>
      <c r="AL51" s="1" t="s">
        <v>118</v>
      </c>
      <c r="AM51" s="2"/>
      <c r="AN51" s="3"/>
      <c r="AP51" s="15"/>
      <c r="AQ51" s="1">
        <v>1</v>
      </c>
      <c r="AR51" s="3"/>
      <c r="AS51" s="3">
        <f t="shared" ref="AS51" si="23">AW51/AV51</f>
        <v>0.13157894736842105</v>
      </c>
      <c r="AT51" s="3">
        <f>7+58.7*0.5+0.5*54.9+64+47.9</f>
        <v>175.7</v>
      </c>
      <c r="AU51" s="3">
        <f t="shared" si="21"/>
        <v>0.15254110541959148</v>
      </c>
      <c r="AV51" s="1">
        <v>152</v>
      </c>
      <c r="AW51" s="3">
        <v>20</v>
      </c>
      <c r="AX51" s="3">
        <v>20</v>
      </c>
      <c r="AY51" s="1">
        <v>17</v>
      </c>
      <c r="AZ51" s="1">
        <v>5</v>
      </c>
      <c r="BA51" s="1">
        <v>4</v>
      </c>
      <c r="BD51" s="1">
        <f t="shared" si="16"/>
        <v>0.23529411764705882</v>
      </c>
      <c r="BE51" s="1">
        <f t="shared" si="22"/>
        <v>0.26</v>
      </c>
      <c r="BG51" s="3"/>
    </row>
    <row r="52" spans="1:59" ht="17.25" customHeight="1" x14ac:dyDescent="0.2">
      <c r="A52" s="4" t="s">
        <v>167</v>
      </c>
      <c r="B52" s="4" t="s">
        <v>5</v>
      </c>
      <c r="C52" s="4" t="s">
        <v>581</v>
      </c>
      <c r="D52" s="4" t="s">
        <v>210</v>
      </c>
      <c r="F52" s="12">
        <v>4</v>
      </c>
      <c r="G52" s="12">
        <f t="shared" si="2"/>
        <v>4</v>
      </c>
      <c r="H52" s="4">
        <v>4</v>
      </c>
      <c r="L52" s="4">
        <v>4</v>
      </c>
      <c r="P52" s="4" t="s">
        <v>600</v>
      </c>
      <c r="Q52" s="4">
        <f>82/117</f>
        <v>0.70085470085470081</v>
      </c>
      <c r="V52" s="4">
        <v>2</v>
      </c>
      <c r="W52" s="4" t="s">
        <v>67</v>
      </c>
      <c r="Y52" s="4" t="s">
        <v>15</v>
      </c>
      <c r="Z52" s="4">
        <v>2</v>
      </c>
      <c r="AA52" s="4" t="s">
        <v>99</v>
      </c>
      <c r="AB52" s="4">
        <v>1</v>
      </c>
      <c r="AC52" s="4" t="s">
        <v>126</v>
      </c>
      <c r="AD52" s="6" t="s">
        <v>140</v>
      </c>
      <c r="AE52" s="12" t="s">
        <v>820</v>
      </c>
      <c r="AF52" s="12">
        <v>4</v>
      </c>
      <c r="AG52" s="6"/>
      <c r="AH52" s="4" t="s">
        <v>23</v>
      </c>
      <c r="AI52" s="4">
        <v>3.5</v>
      </c>
      <c r="AJ52" s="4">
        <v>4.3</v>
      </c>
      <c r="AL52" s="4" t="s">
        <v>118</v>
      </c>
      <c r="AM52" s="10" t="s">
        <v>127</v>
      </c>
      <c r="AP52" s="15">
        <v>50</v>
      </c>
      <c r="AQ52" s="4">
        <v>8.5000000000000006E-2</v>
      </c>
      <c r="AR52" s="7">
        <v>0.2</v>
      </c>
      <c r="AS52" s="7">
        <v>0.2</v>
      </c>
      <c r="AV52" s="4">
        <v>111</v>
      </c>
      <c r="AY52" s="4">
        <v>119</v>
      </c>
      <c r="AZ52" s="4">
        <v>84</v>
      </c>
      <c r="BA52" s="4">
        <v>77</v>
      </c>
      <c r="BD52" s="4">
        <f t="shared" si="16"/>
        <v>0.6470588235294118</v>
      </c>
      <c r="BE52" s="4">
        <f t="shared" si="22"/>
        <v>0.84</v>
      </c>
      <c r="BG52" s="7">
        <f>(119-12)/119</f>
        <v>0.89915966386554624</v>
      </c>
    </row>
    <row r="53" spans="1:59" s="1" customFormat="1" ht="19.5" customHeight="1" x14ac:dyDescent="0.2">
      <c r="A53" s="1" t="s">
        <v>167</v>
      </c>
      <c r="B53" s="1" t="s">
        <v>128</v>
      </c>
      <c r="C53" s="1" t="s">
        <v>581</v>
      </c>
      <c r="D53" s="1" t="s">
        <v>210</v>
      </c>
      <c r="F53" s="13"/>
      <c r="G53" s="12" t="e">
        <f t="shared" si="2"/>
        <v>#DIV/0!</v>
      </c>
      <c r="P53" s="1" t="s">
        <v>600</v>
      </c>
      <c r="R53" s="3"/>
      <c r="V53" s="1">
        <v>2</v>
      </c>
      <c r="W53" s="1" t="s">
        <v>67</v>
      </c>
      <c r="Y53" s="1" t="s">
        <v>15</v>
      </c>
      <c r="Z53" s="1">
        <v>2</v>
      </c>
      <c r="AA53" s="1" t="s">
        <v>99</v>
      </c>
      <c r="AB53" s="1">
        <v>1</v>
      </c>
      <c r="AC53" s="1" t="s">
        <v>126</v>
      </c>
      <c r="AD53" s="5" t="s">
        <v>140</v>
      </c>
      <c r="AE53" s="13" t="s">
        <v>820</v>
      </c>
      <c r="AF53" s="13"/>
      <c r="AG53" s="5"/>
      <c r="AH53" s="1" t="s">
        <v>23</v>
      </c>
      <c r="AI53" s="1">
        <v>3.5</v>
      </c>
      <c r="AJ53" s="1">
        <v>4.3</v>
      </c>
      <c r="AL53" s="1" t="s">
        <v>118</v>
      </c>
      <c r="AM53" s="2" t="s">
        <v>127</v>
      </c>
      <c r="AN53" s="3"/>
      <c r="AP53" s="15">
        <v>50</v>
      </c>
      <c r="AQ53" s="1">
        <v>8.5000000000000006E-2</v>
      </c>
      <c r="AR53" s="3">
        <v>0.2</v>
      </c>
      <c r="AS53" s="3">
        <v>0.2</v>
      </c>
      <c r="AT53" s="3"/>
      <c r="AU53" s="3"/>
      <c r="AV53" s="1">
        <v>111</v>
      </c>
      <c r="AW53" s="3"/>
      <c r="AX53" s="3"/>
      <c r="AY53" s="1">
        <v>119</v>
      </c>
      <c r="AZ53" s="1">
        <v>94.6</v>
      </c>
      <c r="BA53" s="1">
        <v>84.5</v>
      </c>
      <c r="BC53" s="1" t="s">
        <v>801</v>
      </c>
      <c r="BD53" s="1">
        <f t="shared" si="16"/>
        <v>0.71008403361344541</v>
      </c>
      <c r="BE53" s="1">
        <f t="shared" si="22"/>
        <v>0.69</v>
      </c>
      <c r="BG53" s="3">
        <f>(119-11.5)/119</f>
        <v>0.90336134453781514</v>
      </c>
    </row>
    <row r="54" spans="1:59" ht="17.25" customHeight="1" x14ac:dyDescent="0.2">
      <c r="A54" s="4" t="s">
        <v>167</v>
      </c>
      <c r="B54" s="4" t="s">
        <v>129</v>
      </c>
      <c r="C54" s="4" t="s">
        <v>581</v>
      </c>
      <c r="D54" s="4" t="s">
        <v>210</v>
      </c>
      <c r="F54" s="12">
        <v>4.04</v>
      </c>
      <c r="G54" s="12" t="e">
        <f t="shared" si="2"/>
        <v>#DIV/0!</v>
      </c>
      <c r="P54" s="4" t="s">
        <v>600</v>
      </c>
      <c r="Q54" s="4">
        <f>112/117</f>
        <v>0.95726495726495731</v>
      </c>
      <c r="V54" s="4">
        <v>2</v>
      </c>
      <c r="W54" s="4" t="s">
        <v>67</v>
      </c>
      <c r="Y54" s="4" t="s">
        <v>15</v>
      </c>
      <c r="Z54" s="4">
        <v>2</v>
      </c>
      <c r="AA54" s="4" t="s">
        <v>99</v>
      </c>
      <c r="AB54" s="4">
        <v>1</v>
      </c>
      <c r="AC54" s="4" t="s">
        <v>126</v>
      </c>
      <c r="AD54" s="6" t="s">
        <v>140</v>
      </c>
      <c r="AE54" s="12" t="s">
        <v>820</v>
      </c>
      <c r="AF54" s="12">
        <v>4.04</v>
      </c>
      <c r="AG54" s="6"/>
      <c r="AH54" s="4" t="s">
        <v>23</v>
      </c>
      <c r="AI54" s="4">
        <v>3.5</v>
      </c>
      <c r="AJ54" s="4">
        <v>4.3</v>
      </c>
      <c r="AL54" s="4" t="s">
        <v>118</v>
      </c>
      <c r="AM54" s="10" t="s">
        <v>127</v>
      </c>
      <c r="AP54" s="15">
        <v>50</v>
      </c>
      <c r="AQ54" s="4">
        <v>8.5000000000000006E-2</v>
      </c>
      <c r="AR54" s="7">
        <v>0.2</v>
      </c>
      <c r="AS54" s="7">
        <v>0.2</v>
      </c>
      <c r="AV54" s="4">
        <v>111</v>
      </c>
      <c r="AY54" s="4">
        <v>117</v>
      </c>
      <c r="AZ54" s="4">
        <v>108</v>
      </c>
      <c r="BA54" s="4">
        <v>105</v>
      </c>
      <c r="BC54" s="4" t="s">
        <v>801</v>
      </c>
      <c r="BD54" s="4">
        <f t="shared" si="16"/>
        <v>0.89743589743589747</v>
      </c>
      <c r="BE54" s="4">
        <f t="shared" si="22"/>
        <v>0.24</v>
      </c>
      <c r="BG54" s="7">
        <f>110/117</f>
        <v>0.94017094017094016</v>
      </c>
    </row>
    <row r="55" spans="1:59" s="1" customFormat="1" ht="19.5" customHeight="1" x14ac:dyDescent="0.2">
      <c r="A55" s="1" t="s">
        <v>167</v>
      </c>
      <c r="B55" s="1" t="s">
        <v>130</v>
      </c>
      <c r="C55" s="1" t="s">
        <v>581</v>
      </c>
      <c r="D55" s="1" t="s">
        <v>210</v>
      </c>
      <c r="F55" s="13">
        <v>4.01</v>
      </c>
      <c r="G55" s="12" t="e">
        <f t="shared" si="2"/>
        <v>#DIV/0!</v>
      </c>
      <c r="P55" s="1" t="s">
        <v>600</v>
      </c>
      <c r="Q55" s="1">
        <f>115/120</f>
        <v>0.95833333333333337</v>
      </c>
      <c r="R55" s="3"/>
      <c r="V55" s="1">
        <v>2</v>
      </c>
      <c r="W55" s="1" t="s">
        <v>67</v>
      </c>
      <c r="Y55" s="1" t="s">
        <v>15</v>
      </c>
      <c r="Z55" s="1">
        <v>2</v>
      </c>
      <c r="AA55" s="1" t="s">
        <v>99</v>
      </c>
      <c r="AB55" s="1">
        <v>1</v>
      </c>
      <c r="AC55" s="1" t="s">
        <v>126</v>
      </c>
      <c r="AD55" s="5" t="s">
        <v>140</v>
      </c>
      <c r="AE55" s="13" t="s">
        <v>820</v>
      </c>
      <c r="AF55" s="13">
        <v>4.01</v>
      </c>
      <c r="AG55" s="5"/>
      <c r="AH55" s="1" t="s">
        <v>23</v>
      </c>
      <c r="AI55" s="1">
        <v>3.5</v>
      </c>
      <c r="AJ55" s="1">
        <v>4.3</v>
      </c>
      <c r="AL55" s="1" t="s">
        <v>118</v>
      </c>
      <c r="AM55" s="2" t="s">
        <v>127</v>
      </c>
      <c r="AN55" s="3"/>
      <c r="AP55" s="15">
        <v>50</v>
      </c>
      <c r="AQ55" s="1">
        <v>8.5000000000000006E-2</v>
      </c>
      <c r="AR55" s="3">
        <v>0.2</v>
      </c>
      <c r="AS55" s="3">
        <v>0.2</v>
      </c>
      <c r="AT55" s="3"/>
      <c r="AU55" s="3"/>
      <c r="AV55" s="1">
        <v>111</v>
      </c>
      <c r="AW55" s="3"/>
      <c r="AX55" s="3"/>
      <c r="AY55" s="1">
        <v>121</v>
      </c>
      <c r="AZ55" s="1">
        <v>117</v>
      </c>
      <c r="BA55" s="1">
        <v>115</v>
      </c>
      <c r="BC55" s="1" t="s">
        <v>801</v>
      </c>
      <c r="BD55" s="1">
        <f t="shared" si="16"/>
        <v>0.95041322314049592</v>
      </c>
      <c r="BE55" s="1">
        <f t="shared" si="22"/>
        <v>0.12</v>
      </c>
      <c r="BG55" s="3">
        <f>(121-6.2)/121</f>
        <v>0.94876033057851239</v>
      </c>
    </row>
    <row r="56" spans="1:59" ht="17.25" customHeight="1" x14ac:dyDescent="0.2">
      <c r="A56" s="4" t="s">
        <v>167</v>
      </c>
      <c r="B56" s="4" t="s">
        <v>131</v>
      </c>
      <c r="C56" s="4" t="s">
        <v>581</v>
      </c>
      <c r="D56" s="4" t="s">
        <v>210</v>
      </c>
      <c r="F56" s="12">
        <v>4.03</v>
      </c>
      <c r="G56" s="12" t="e">
        <f t="shared" si="2"/>
        <v>#DIV/0!</v>
      </c>
      <c r="P56" s="4" t="s">
        <v>600</v>
      </c>
      <c r="Q56" s="4">
        <f>106/108</f>
        <v>0.98148148148148151</v>
      </c>
      <c r="V56" s="4">
        <v>2</v>
      </c>
      <c r="W56" s="4" t="s">
        <v>67</v>
      </c>
      <c r="Y56" s="4" t="s">
        <v>15</v>
      </c>
      <c r="Z56" s="4">
        <v>2</v>
      </c>
      <c r="AA56" s="4" t="s">
        <v>99</v>
      </c>
      <c r="AB56" s="4">
        <v>1</v>
      </c>
      <c r="AC56" s="4" t="s">
        <v>126</v>
      </c>
      <c r="AD56" s="6" t="s">
        <v>140</v>
      </c>
      <c r="AE56" s="12" t="s">
        <v>820</v>
      </c>
      <c r="AF56" s="12">
        <v>4.03</v>
      </c>
      <c r="AG56" s="6"/>
      <c r="AH56" s="4" t="s">
        <v>23</v>
      </c>
      <c r="AI56" s="4">
        <v>3.5</v>
      </c>
      <c r="AJ56" s="4">
        <v>4.3</v>
      </c>
      <c r="AL56" s="4" t="s">
        <v>118</v>
      </c>
      <c r="AM56" s="10" t="s">
        <v>127</v>
      </c>
      <c r="AP56" s="15">
        <v>50</v>
      </c>
      <c r="AQ56" s="4">
        <v>8.5000000000000006E-2</v>
      </c>
      <c r="AR56" s="7">
        <v>0.2</v>
      </c>
      <c r="AS56" s="7">
        <v>0.2</v>
      </c>
      <c r="AV56" s="4">
        <v>111</v>
      </c>
      <c r="AY56" s="4">
        <v>111</v>
      </c>
      <c r="AZ56" s="4">
        <v>109</v>
      </c>
      <c r="BA56" s="4">
        <v>107</v>
      </c>
      <c r="BC56" s="4" t="s">
        <v>801</v>
      </c>
      <c r="BD56" s="4">
        <f t="shared" ref="BD56:BD69" si="24">BA56/AY56</f>
        <v>0.963963963963964</v>
      </c>
      <c r="BE56" s="4">
        <f t="shared" ref="BE56:BE69" si="25">(AY56-BA56)/50</f>
        <v>0.08</v>
      </c>
      <c r="BG56" s="7">
        <f>(111-5.1)/111</f>
        <v>0.95405405405405408</v>
      </c>
    </row>
    <row r="57" spans="1:59" s="1" customFormat="1" ht="19.5" customHeight="1" x14ac:dyDescent="0.2">
      <c r="A57" s="1" t="s">
        <v>167</v>
      </c>
      <c r="B57" s="1" t="s">
        <v>132</v>
      </c>
      <c r="C57" s="1" t="s">
        <v>581</v>
      </c>
      <c r="D57" s="1" t="s">
        <v>210</v>
      </c>
      <c r="F57" s="13">
        <v>4.0199999999999996</v>
      </c>
      <c r="G57" s="12" t="e">
        <f t="shared" si="2"/>
        <v>#DIV/0!</v>
      </c>
      <c r="P57" s="1" t="s">
        <v>600</v>
      </c>
      <c r="Q57" s="1">
        <f>109.5/116</f>
        <v>0.94396551724137934</v>
      </c>
      <c r="R57" s="3"/>
      <c r="V57" s="1">
        <v>2</v>
      </c>
      <c r="W57" s="1" t="s">
        <v>67</v>
      </c>
      <c r="Y57" s="1" t="s">
        <v>15</v>
      </c>
      <c r="Z57" s="1">
        <v>2</v>
      </c>
      <c r="AA57" s="1" t="s">
        <v>99</v>
      </c>
      <c r="AB57" s="1">
        <v>1</v>
      </c>
      <c r="AC57" s="1" t="s">
        <v>126</v>
      </c>
      <c r="AD57" s="5" t="s">
        <v>140</v>
      </c>
      <c r="AE57" s="13" t="s">
        <v>820</v>
      </c>
      <c r="AF57" s="13">
        <v>4.0199999999999996</v>
      </c>
      <c r="AG57" s="5"/>
      <c r="AH57" s="1" t="s">
        <v>23</v>
      </c>
      <c r="AI57" s="1">
        <v>3.5</v>
      </c>
      <c r="AJ57" s="1">
        <v>4.3</v>
      </c>
      <c r="AL57" s="1" t="s">
        <v>118</v>
      </c>
      <c r="AM57" s="2" t="s">
        <v>127</v>
      </c>
      <c r="AN57" s="3"/>
      <c r="AP57" s="15">
        <v>50</v>
      </c>
      <c r="AQ57" s="1">
        <v>8.5000000000000006E-2</v>
      </c>
      <c r="AR57" s="3">
        <v>0.2</v>
      </c>
      <c r="AS57" s="3">
        <v>0.2</v>
      </c>
      <c r="AT57" s="3"/>
      <c r="AU57" s="3"/>
      <c r="AV57" s="1">
        <v>111</v>
      </c>
      <c r="AW57" s="3"/>
      <c r="AX57" s="3"/>
      <c r="AY57" s="1">
        <v>117</v>
      </c>
      <c r="AZ57" s="1">
        <v>114</v>
      </c>
      <c r="BA57" s="1">
        <v>112</v>
      </c>
      <c r="BC57" s="1" t="s">
        <v>801</v>
      </c>
      <c r="BD57" s="1">
        <f t="shared" si="24"/>
        <v>0.95726495726495731</v>
      </c>
      <c r="BE57" s="1">
        <f t="shared" si="25"/>
        <v>0.1</v>
      </c>
      <c r="BG57" s="3">
        <f>(117-4.8)/117</f>
        <v>0.95897435897435901</v>
      </c>
    </row>
    <row r="58" spans="1:59" ht="17.25" customHeight="1" x14ac:dyDescent="0.2">
      <c r="A58" s="4" t="s">
        <v>167</v>
      </c>
      <c r="B58" s="4" t="s">
        <v>133</v>
      </c>
      <c r="C58" s="4" t="s">
        <v>581</v>
      </c>
      <c r="D58" s="4" t="s">
        <v>210</v>
      </c>
      <c r="F58" s="12">
        <v>4.04</v>
      </c>
      <c r="G58" s="12" t="e">
        <f t="shared" si="2"/>
        <v>#DIV/0!</v>
      </c>
      <c r="P58" s="4" t="s">
        <v>600</v>
      </c>
      <c r="Q58" s="4">
        <v>1</v>
      </c>
      <c r="V58" s="4">
        <v>2</v>
      </c>
      <c r="W58" s="4" t="s">
        <v>67</v>
      </c>
      <c r="Y58" s="4" t="s">
        <v>15</v>
      </c>
      <c r="Z58" s="4">
        <v>2</v>
      </c>
      <c r="AA58" s="4" t="s">
        <v>99</v>
      </c>
      <c r="AB58" s="4">
        <v>1</v>
      </c>
      <c r="AC58" s="4" t="s">
        <v>126</v>
      </c>
      <c r="AD58" s="6" t="s">
        <v>140</v>
      </c>
      <c r="AE58" s="12" t="s">
        <v>820</v>
      </c>
      <c r="AF58" s="12">
        <v>4.04</v>
      </c>
      <c r="AG58" s="6"/>
      <c r="AH58" s="4" t="s">
        <v>23</v>
      </c>
      <c r="AI58" s="4">
        <v>3.5</v>
      </c>
      <c r="AJ58" s="4">
        <v>4.3</v>
      </c>
      <c r="AL58" s="4" t="s">
        <v>118</v>
      </c>
      <c r="AM58" s="10" t="s">
        <v>127</v>
      </c>
      <c r="AP58" s="15">
        <v>50</v>
      </c>
      <c r="AQ58" s="4">
        <v>8.5000000000000006E-2</v>
      </c>
      <c r="AR58" s="7">
        <v>0.2</v>
      </c>
      <c r="AS58" s="7">
        <v>0.2</v>
      </c>
      <c r="AV58" s="4">
        <v>111</v>
      </c>
      <c r="AY58" s="4">
        <v>82</v>
      </c>
      <c r="AZ58" s="4">
        <v>81</v>
      </c>
      <c r="BA58" s="4">
        <v>80</v>
      </c>
      <c r="BC58" s="4" t="s">
        <v>801</v>
      </c>
      <c r="BD58" s="4">
        <f t="shared" si="24"/>
        <v>0.97560975609756095</v>
      </c>
      <c r="BE58" s="4">
        <f t="shared" si="25"/>
        <v>0.04</v>
      </c>
      <c r="BG58" s="7">
        <f>(82-2.4)/82</f>
        <v>0.97073170731707314</v>
      </c>
    </row>
    <row r="59" spans="1:59" s="1" customFormat="1" ht="19.5" customHeight="1" x14ac:dyDescent="0.2">
      <c r="A59" s="1" t="s">
        <v>167</v>
      </c>
      <c r="B59" s="1" t="s">
        <v>134</v>
      </c>
      <c r="C59" s="1" t="s">
        <v>581</v>
      </c>
      <c r="D59" s="1" t="s">
        <v>210</v>
      </c>
      <c r="F59" s="13">
        <v>4.07</v>
      </c>
      <c r="G59" s="12" t="e">
        <f t="shared" si="2"/>
        <v>#DIV/0!</v>
      </c>
      <c r="P59" s="1" t="s">
        <v>600</v>
      </c>
      <c r="Q59" s="1">
        <f>103/104</f>
        <v>0.99038461538461542</v>
      </c>
      <c r="R59" s="3"/>
      <c r="V59" s="1">
        <v>2</v>
      </c>
      <c r="W59" s="1" t="s">
        <v>67</v>
      </c>
      <c r="Y59" s="1" t="s">
        <v>15</v>
      </c>
      <c r="Z59" s="1">
        <v>2</v>
      </c>
      <c r="AA59" s="1" t="s">
        <v>99</v>
      </c>
      <c r="AB59" s="1">
        <v>1</v>
      </c>
      <c r="AC59" s="1" t="s">
        <v>126</v>
      </c>
      <c r="AD59" s="5" t="s">
        <v>140</v>
      </c>
      <c r="AE59" s="13" t="s">
        <v>820</v>
      </c>
      <c r="AF59" s="13">
        <v>4.07</v>
      </c>
      <c r="AG59" s="5"/>
      <c r="AH59" s="1" t="s">
        <v>23</v>
      </c>
      <c r="AI59" s="1">
        <v>3.5</v>
      </c>
      <c r="AJ59" s="1">
        <v>4.3</v>
      </c>
      <c r="AL59" s="1" t="s">
        <v>118</v>
      </c>
      <c r="AM59" s="2" t="s">
        <v>127</v>
      </c>
      <c r="AN59" s="3"/>
      <c r="AP59" s="15">
        <v>50</v>
      </c>
      <c r="AQ59" s="1">
        <v>8.5000000000000006E-2</v>
      </c>
      <c r="AR59" s="3">
        <v>0.2</v>
      </c>
      <c r="AS59" s="3">
        <v>0.2</v>
      </c>
      <c r="AT59" s="3"/>
      <c r="AU59" s="3"/>
      <c r="AV59" s="1">
        <v>111</v>
      </c>
      <c r="AW59" s="3"/>
      <c r="AX59" s="3"/>
      <c r="AY59" s="1">
        <v>104</v>
      </c>
      <c r="AZ59" s="1">
        <v>103</v>
      </c>
      <c r="BA59" s="1">
        <v>103</v>
      </c>
      <c r="BC59" s="1" t="s">
        <v>801</v>
      </c>
      <c r="BD59" s="1">
        <f t="shared" si="24"/>
        <v>0.99038461538461542</v>
      </c>
      <c r="BE59" s="1">
        <f t="shared" si="25"/>
        <v>0.02</v>
      </c>
      <c r="BG59" s="3">
        <f>(104-0.9)/104</f>
        <v>0.99134615384615377</v>
      </c>
    </row>
    <row r="60" spans="1:59" ht="17.25" customHeight="1" x14ac:dyDescent="0.2">
      <c r="A60" s="4" t="s">
        <v>167</v>
      </c>
      <c r="B60" s="4" t="s">
        <v>135</v>
      </c>
      <c r="C60" s="4" t="s">
        <v>581</v>
      </c>
      <c r="D60" s="4" t="s">
        <v>210</v>
      </c>
      <c r="F60" s="12">
        <v>4.0659999999999998</v>
      </c>
      <c r="G60" s="12" t="e">
        <f t="shared" si="2"/>
        <v>#DIV/0!</v>
      </c>
      <c r="Q60" s="4">
        <f>104/110</f>
        <v>0.94545454545454544</v>
      </c>
      <c r="V60" s="4">
        <v>2</v>
      </c>
      <c r="W60" s="4" t="s">
        <v>67</v>
      </c>
      <c r="Y60" s="4" t="s">
        <v>15</v>
      </c>
      <c r="Z60" s="4">
        <v>2</v>
      </c>
      <c r="AA60" s="4" t="s">
        <v>99</v>
      </c>
      <c r="AB60" s="4">
        <v>1</v>
      </c>
      <c r="AC60" s="4" t="s">
        <v>126</v>
      </c>
      <c r="AD60" s="6" t="s">
        <v>140</v>
      </c>
      <c r="AE60" s="12" t="s">
        <v>820</v>
      </c>
      <c r="AF60" s="12">
        <v>4.0659999999999998</v>
      </c>
      <c r="AG60" s="6"/>
      <c r="AH60" s="4" t="s">
        <v>23</v>
      </c>
      <c r="AI60" s="4">
        <v>3.5</v>
      </c>
      <c r="AJ60" s="4">
        <v>4.3</v>
      </c>
      <c r="AL60" s="4" t="s">
        <v>118</v>
      </c>
      <c r="AM60" s="10" t="s">
        <v>127</v>
      </c>
      <c r="AP60" s="15">
        <v>50</v>
      </c>
      <c r="AQ60" s="4">
        <v>8.5000000000000006E-2</v>
      </c>
      <c r="AR60" s="7">
        <v>0.2</v>
      </c>
      <c r="AS60" s="7">
        <v>0.2</v>
      </c>
      <c r="AV60" s="4">
        <v>111</v>
      </c>
      <c r="AY60" s="4">
        <v>110</v>
      </c>
      <c r="AZ60" s="4">
        <v>107</v>
      </c>
      <c r="BA60" s="4">
        <v>105</v>
      </c>
      <c r="BC60" s="4" t="s">
        <v>801</v>
      </c>
      <c r="BD60" s="4">
        <f t="shared" si="24"/>
        <v>0.95454545454545459</v>
      </c>
      <c r="BE60" s="4">
        <f t="shared" si="25"/>
        <v>0.1</v>
      </c>
      <c r="BG60" s="7">
        <f>(110-2.5)/110</f>
        <v>0.97727272727272729</v>
      </c>
    </row>
    <row r="61" spans="1:59" s="1" customFormat="1" ht="19.5" customHeight="1" x14ac:dyDescent="0.2">
      <c r="A61" s="1">
        <v>60</v>
      </c>
      <c r="B61" s="1" t="s">
        <v>5</v>
      </c>
      <c r="C61" s="1" t="s">
        <v>581</v>
      </c>
      <c r="D61" s="1" t="s">
        <v>210</v>
      </c>
      <c r="F61" s="13"/>
      <c r="G61" s="12" t="e">
        <f t="shared" si="2"/>
        <v>#DIV/0!</v>
      </c>
      <c r="R61" s="3"/>
      <c r="V61" s="1">
        <v>2</v>
      </c>
      <c r="W61" s="1" t="s">
        <v>67</v>
      </c>
      <c r="Y61" s="1" t="s">
        <v>15</v>
      </c>
      <c r="Z61" s="1">
        <v>2</v>
      </c>
      <c r="AA61" s="1" t="s">
        <v>99</v>
      </c>
      <c r="AB61" s="1">
        <v>1</v>
      </c>
      <c r="AC61" s="1" t="s">
        <v>126</v>
      </c>
      <c r="AD61" s="5" t="s">
        <v>140</v>
      </c>
      <c r="AE61" s="13" t="s">
        <v>820</v>
      </c>
      <c r="AF61" s="13"/>
      <c r="AG61" s="5"/>
      <c r="AH61" s="1" t="s">
        <v>23</v>
      </c>
      <c r="AI61" s="1">
        <v>3.5</v>
      </c>
      <c r="AJ61" s="1">
        <v>4.3</v>
      </c>
      <c r="AL61" s="1" t="s">
        <v>118</v>
      </c>
      <c r="AM61" s="2" t="s">
        <v>127</v>
      </c>
      <c r="AN61" s="3"/>
      <c r="AP61" s="15">
        <v>50</v>
      </c>
      <c r="AQ61" s="1">
        <v>8.5000000000000006E-2</v>
      </c>
      <c r="AR61" s="3">
        <v>0.2</v>
      </c>
      <c r="AS61" s="3">
        <v>0.2</v>
      </c>
      <c r="AT61" s="3"/>
      <c r="AU61" s="3"/>
      <c r="AV61" s="1">
        <v>111</v>
      </c>
      <c r="AW61" s="3"/>
      <c r="AX61" s="3"/>
      <c r="AY61" s="1">
        <v>119</v>
      </c>
      <c r="AZ61" s="1">
        <v>63</v>
      </c>
      <c r="BA61" s="1">
        <v>57</v>
      </c>
      <c r="BC61" s="1" t="s">
        <v>801</v>
      </c>
      <c r="BD61" s="1">
        <f t="shared" si="24"/>
        <v>0.47899159663865548</v>
      </c>
      <c r="BE61" s="1">
        <f t="shared" si="25"/>
        <v>1.24</v>
      </c>
      <c r="BG61" s="3">
        <f>(119-12)/119</f>
        <v>0.89915966386554624</v>
      </c>
    </row>
    <row r="62" spans="1:59" ht="17.25" customHeight="1" x14ac:dyDescent="0.2">
      <c r="A62" s="4">
        <v>60</v>
      </c>
      <c r="B62" s="4" t="s">
        <v>128</v>
      </c>
      <c r="C62" s="4" t="s">
        <v>581</v>
      </c>
      <c r="D62" s="4" t="s">
        <v>210</v>
      </c>
      <c r="F62" s="12"/>
      <c r="G62" s="12" t="e">
        <f t="shared" si="2"/>
        <v>#DIV/0!</v>
      </c>
      <c r="V62" s="4">
        <v>2</v>
      </c>
      <c r="W62" s="4" t="s">
        <v>67</v>
      </c>
      <c r="Y62" s="4" t="s">
        <v>15</v>
      </c>
      <c r="Z62" s="4">
        <v>2</v>
      </c>
      <c r="AA62" s="4" t="s">
        <v>99</v>
      </c>
      <c r="AB62" s="4">
        <v>1</v>
      </c>
      <c r="AC62" s="4" t="s">
        <v>126</v>
      </c>
      <c r="AD62" s="6" t="s">
        <v>140</v>
      </c>
      <c r="AE62" s="12" t="s">
        <v>820</v>
      </c>
      <c r="AF62" s="12"/>
      <c r="AG62" s="6"/>
      <c r="AH62" s="4" t="s">
        <v>23</v>
      </c>
      <c r="AI62" s="4">
        <v>3.5</v>
      </c>
      <c r="AJ62" s="4">
        <v>4.3</v>
      </c>
      <c r="AL62" s="4" t="s">
        <v>118</v>
      </c>
      <c r="AM62" s="10" t="s">
        <v>127</v>
      </c>
      <c r="AP62" s="15">
        <v>50</v>
      </c>
      <c r="AQ62" s="4">
        <v>8.5000000000000006E-2</v>
      </c>
      <c r="AR62" s="7">
        <v>0.2</v>
      </c>
      <c r="AS62" s="7">
        <v>0.2</v>
      </c>
      <c r="AV62" s="4">
        <v>111</v>
      </c>
      <c r="AY62" s="4">
        <v>119</v>
      </c>
      <c r="AZ62" s="4">
        <v>78</v>
      </c>
      <c r="BA62" s="4">
        <v>68</v>
      </c>
      <c r="BC62" s="4" t="s">
        <v>801</v>
      </c>
      <c r="BD62" s="4">
        <f t="shared" si="24"/>
        <v>0.5714285714285714</v>
      </c>
      <c r="BE62" s="4">
        <f t="shared" si="25"/>
        <v>1.02</v>
      </c>
      <c r="BG62" s="7">
        <f>(119-11.5)/119</f>
        <v>0.90336134453781514</v>
      </c>
    </row>
    <row r="63" spans="1:59" s="1" customFormat="1" ht="19.5" customHeight="1" x14ac:dyDescent="0.2">
      <c r="A63" s="1">
        <v>60</v>
      </c>
      <c r="B63" s="1" t="s">
        <v>129</v>
      </c>
      <c r="C63" s="1" t="s">
        <v>581</v>
      </c>
      <c r="D63" s="1" t="s">
        <v>210</v>
      </c>
      <c r="F63" s="13"/>
      <c r="G63" s="12" t="e">
        <f t="shared" si="2"/>
        <v>#DIV/0!</v>
      </c>
      <c r="R63" s="3"/>
      <c r="V63" s="1">
        <v>2</v>
      </c>
      <c r="W63" s="1" t="s">
        <v>67</v>
      </c>
      <c r="Y63" s="1" t="s">
        <v>15</v>
      </c>
      <c r="Z63" s="1">
        <v>2</v>
      </c>
      <c r="AA63" s="1" t="s">
        <v>99</v>
      </c>
      <c r="AB63" s="1">
        <v>1</v>
      </c>
      <c r="AC63" s="1" t="s">
        <v>126</v>
      </c>
      <c r="AD63" s="5" t="s">
        <v>140</v>
      </c>
      <c r="AE63" s="13" t="s">
        <v>820</v>
      </c>
      <c r="AF63" s="13"/>
      <c r="AG63" s="5"/>
      <c r="AH63" s="1" t="s">
        <v>23</v>
      </c>
      <c r="AI63" s="1">
        <v>3.5</v>
      </c>
      <c r="AJ63" s="1">
        <v>4.3</v>
      </c>
      <c r="AL63" s="1" t="s">
        <v>118</v>
      </c>
      <c r="AM63" s="2" t="s">
        <v>127</v>
      </c>
      <c r="AN63" s="3"/>
      <c r="AP63" s="15">
        <v>50</v>
      </c>
      <c r="AQ63" s="1">
        <v>8.5000000000000006E-2</v>
      </c>
      <c r="AR63" s="3">
        <v>0.2</v>
      </c>
      <c r="AS63" s="3">
        <v>0.2</v>
      </c>
      <c r="AT63" s="3"/>
      <c r="AU63" s="3"/>
      <c r="AV63" s="1">
        <v>111</v>
      </c>
      <c r="AW63" s="3"/>
      <c r="AX63" s="3"/>
      <c r="AY63" s="1">
        <v>117</v>
      </c>
      <c r="AZ63" s="1">
        <v>106</v>
      </c>
      <c r="BA63" s="1">
        <v>99</v>
      </c>
      <c r="BC63" s="1" t="s">
        <v>801</v>
      </c>
      <c r="BD63" s="1">
        <f t="shared" si="24"/>
        <v>0.84615384615384615</v>
      </c>
      <c r="BE63" s="1">
        <f t="shared" si="25"/>
        <v>0.36</v>
      </c>
      <c r="BG63" s="3">
        <f>110/117</f>
        <v>0.94017094017094016</v>
      </c>
    </row>
    <row r="64" spans="1:59" ht="17.25" customHeight="1" x14ac:dyDescent="0.2">
      <c r="A64" s="4">
        <v>60</v>
      </c>
      <c r="B64" s="4" t="s">
        <v>130</v>
      </c>
      <c r="C64" s="4" t="s">
        <v>581</v>
      </c>
      <c r="D64" s="4" t="s">
        <v>210</v>
      </c>
      <c r="F64" s="12"/>
      <c r="G64" s="12" t="e">
        <f t="shared" si="2"/>
        <v>#DIV/0!</v>
      </c>
      <c r="V64" s="4">
        <v>2</v>
      </c>
      <c r="W64" s="4" t="s">
        <v>67</v>
      </c>
      <c r="Y64" s="4" t="s">
        <v>15</v>
      </c>
      <c r="Z64" s="4">
        <v>2</v>
      </c>
      <c r="AA64" s="4" t="s">
        <v>99</v>
      </c>
      <c r="AB64" s="4">
        <v>1</v>
      </c>
      <c r="AC64" s="4" t="s">
        <v>126</v>
      </c>
      <c r="AD64" s="6" t="s">
        <v>140</v>
      </c>
      <c r="AE64" s="12" t="s">
        <v>820</v>
      </c>
      <c r="AF64" s="12"/>
      <c r="AG64" s="6"/>
      <c r="AH64" s="4" t="s">
        <v>23</v>
      </c>
      <c r="AI64" s="4">
        <v>3.5</v>
      </c>
      <c r="AJ64" s="4">
        <v>4.3</v>
      </c>
      <c r="AL64" s="4" t="s">
        <v>118</v>
      </c>
      <c r="AM64" s="10" t="s">
        <v>127</v>
      </c>
      <c r="AP64" s="15">
        <v>50</v>
      </c>
      <c r="AQ64" s="4">
        <v>8.5000000000000006E-2</v>
      </c>
      <c r="AR64" s="7">
        <v>0.2</v>
      </c>
      <c r="AS64" s="7">
        <v>0.2</v>
      </c>
      <c r="AV64" s="4">
        <v>111</v>
      </c>
      <c r="AY64" s="4">
        <v>121</v>
      </c>
      <c r="AZ64" s="4">
        <v>113</v>
      </c>
      <c r="BA64" s="4">
        <v>109</v>
      </c>
      <c r="BC64" s="4" t="s">
        <v>801</v>
      </c>
      <c r="BD64" s="4">
        <f t="shared" si="24"/>
        <v>0.90082644628099173</v>
      </c>
      <c r="BE64" s="4">
        <f t="shared" si="25"/>
        <v>0.24</v>
      </c>
      <c r="BG64" s="7">
        <f>(121-6.2)/121</f>
        <v>0.94876033057851239</v>
      </c>
    </row>
    <row r="65" spans="1:59" s="1" customFormat="1" ht="19.5" customHeight="1" x14ac:dyDescent="0.2">
      <c r="A65" s="1">
        <v>60</v>
      </c>
      <c r="B65" s="1" t="s">
        <v>131</v>
      </c>
      <c r="C65" s="1" t="s">
        <v>581</v>
      </c>
      <c r="D65" s="1" t="s">
        <v>210</v>
      </c>
      <c r="F65" s="13"/>
      <c r="G65" s="12" t="e">
        <f t="shared" si="2"/>
        <v>#DIV/0!</v>
      </c>
      <c r="R65" s="3"/>
      <c r="V65" s="1">
        <v>2</v>
      </c>
      <c r="W65" s="1" t="s">
        <v>67</v>
      </c>
      <c r="Y65" s="1" t="s">
        <v>15</v>
      </c>
      <c r="Z65" s="1">
        <v>2</v>
      </c>
      <c r="AA65" s="1" t="s">
        <v>99</v>
      </c>
      <c r="AB65" s="1">
        <v>1</v>
      </c>
      <c r="AC65" s="1" t="s">
        <v>126</v>
      </c>
      <c r="AD65" s="5" t="s">
        <v>140</v>
      </c>
      <c r="AE65" s="13" t="s">
        <v>820</v>
      </c>
      <c r="AF65" s="13"/>
      <c r="AG65" s="5"/>
      <c r="AH65" s="1" t="s">
        <v>23</v>
      </c>
      <c r="AI65" s="1">
        <v>3.5</v>
      </c>
      <c r="AJ65" s="1">
        <v>4.3</v>
      </c>
      <c r="AL65" s="1" t="s">
        <v>118</v>
      </c>
      <c r="AM65" s="2" t="s">
        <v>127</v>
      </c>
      <c r="AN65" s="3"/>
      <c r="AP65" s="15">
        <v>50</v>
      </c>
      <c r="AQ65" s="1">
        <v>8.5000000000000006E-2</v>
      </c>
      <c r="AR65" s="3">
        <v>0.2</v>
      </c>
      <c r="AS65" s="3">
        <v>0.2</v>
      </c>
      <c r="AT65" s="3"/>
      <c r="AU65" s="3"/>
      <c r="AV65" s="1">
        <v>111</v>
      </c>
      <c r="AW65" s="3"/>
      <c r="AX65" s="3"/>
      <c r="AY65" s="1">
        <v>111</v>
      </c>
      <c r="AZ65" s="1">
        <v>103</v>
      </c>
      <c r="BA65" s="1">
        <v>99</v>
      </c>
      <c r="BC65" s="1" t="s">
        <v>801</v>
      </c>
      <c r="BD65" s="1">
        <f t="shared" si="24"/>
        <v>0.89189189189189189</v>
      </c>
      <c r="BE65" s="1">
        <f t="shared" si="25"/>
        <v>0.24</v>
      </c>
      <c r="BG65" s="3">
        <f>(111-5.1)/111</f>
        <v>0.95405405405405408</v>
      </c>
    </row>
    <row r="66" spans="1:59" ht="17.25" customHeight="1" x14ac:dyDescent="0.2">
      <c r="A66" s="4">
        <v>60</v>
      </c>
      <c r="B66" s="4" t="s">
        <v>132</v>
      </c>
      <c r="C66" s="4" t="s">
        <v>581</v>
      </c>
      <c r="D66" s="4" t="s">
        <v>210</v>
      </c>
      <c r="F66" s="12"/>
      <c r="G66" s="12" t="e">
        <f t="shared" si="2"/>
        <v>#DIV/0!</v>
      </c>
      <c r="V66" s="4">
        <v>2</v>
      </c>
      <c r="W66" s="4" t="s">
        <v>67</v>
      </c>
      <c r="Y66" s="4" t="s">
        <v>15</v>
      </c>
      <c r="Z66" s="4">
        <v>2</v>
      </c>
      <c r="AA66" s="4" t="s">
        <v>99</v>
      </c>
      <c r="AB66" s="4">
        <v>1</v>
      </c>
      <c r="AC66" s="4" t="s">
        <v>126</v>
      </c>
      <c r="AD66" s="6" t="s">
        <v>140</v>
      </c>
      <c r="AE66" s="12" t="s">
        <v>820</v>
      </c>
      <c r="AF66" s="12"/>
      <c r="AG66" s="6"/>
      <c r="AH66" s="4" t="s">
        <v>23</v>
      </c>
      <c r="AI66" s="4">
        <v>3.5</v>
      </c>
      <c r="AJ66" s="4">
        <v>4.3</v>
      </c>
      <c r="AL66" s="4" t="s">
        <v>118</v>
      </c>
      <c r="AM66" s="10" t="s">
        <v>127</v>
      </c>
      <c r="AP66" s="15">
        <v>50</v>
      </c>
      <c r="AQ66" s="4">
        <v>8.5000000000000006E-2</v>
      </c>
      <c r="AR66" s="7">
        <v>0.2</v>
      </c>
      <c r="AS66" s="7">
        <v>0.2</v>
      </c>
      <c r="AV66" s="4">
        <v>111</v>
      </c>
      <c r="AY66" s="4">
        <v>117</v>
      </c>
      <c r="AZ66" s="4">
        <v>111</v>
      </c>
      <c r="BA66" s="4">
        <v>107</v>
      </c>
      <c r="BC66" s="4" t="s">
        <v>801</v>
      </c>
      <c r="BD66" s="4">
        <f t="shared" si="24"/>
        <v>0.9145299145299145</v>
      </c>
      <c r="BE66" s="4">
        <f t="shared" si="25"/>
        <v>0.2</v>
      </c>
      <c r="BG66" s="7">
        <f>(117-4.8)/117</f>
        <v>0.95897435897435901</v>
      </c>
    </row>
    <row r="67" spans="1:59" s="1" customFormat="1" ht="19.5" customHeight="1" x14ac:dyDescent="0.2">
      <c r="A67" s="1">
        <v>60</v>
      </c>
      <c r="B67" s="1" t="s">
        <v>133</v>
      </c>
      <c r="C67" s="1" t="s">
        <v>581</v>
      </c>
      <c r="D67" s="1" t="s">
        <v>210</v>
      </c>
      <c r="F67" s="13"/>
      <c r="G67" s="12" t="e">
        <f t="shared" si="2"/>
        <v>#DIV/0!</v>
      </c>
      <c r="R67" s="3"/>
      <c r="V67" s="1">
        <v>2</v>
      </c>
      <c r="W67" s="1" t="s">
        <v>67</v>
      </c>
      <c r="Y67" s="1" t="s">
        <v>15</v>
      </c>
      <c r="Z67" s="1">
        <v>2</v>
      </c>
      <c r="AA67" s="1" t="s">
        <v>99</v>
      </c>
      <c r="AB67" s="1">
        <v>1</v>
      </c>
      <c r="AC67" s="1" t="s">
        <v>126</v>
      </c>
      <c r="AD67" s="5" t="s">
        <v>140</v>
      </c>
      <c r="AE67" s="13" t="s">
        <v>820</v>
      </c>
      <c r="AF67" s="13"/>
      <c r="AG67" s="5"/>
      <c r="AH67" s="1" t="s">
        <v>23</v>
      </c>
      <c r="AI67" s="1">
        <v>3.5</v>
      </c>
      <c r="AJ67" s="1">
        <v>4.3</v>
      </c>
      <c r="AL67" s="1" t="s">
        <v>118</v>
      </c>
      <c r="AM67" s="2" t="s">
        <v>127</v>
      </c>
      <c r="AN67" s="3"/>
      <c r="AP67" s="15">
        <v>50</v>
      </c>
      <c r="AQ67" s="1">
        <v>8.5000000000000006E-2</v>
      </c>
      <c r="AR67" s="3">
        <v>0.2</v>
      </c>
      <c r="AS67" s="3">
        <v>0.2</v>
      </c>
      <c r="AT67" s="3"/>
      <c r="AU67" s="3"/>
      <c r="AV67" s="1">
        <v>111</v>
      </c>
      <c r="AW67" s="3"/>
      <c r="AX67" s="3"/>
      <c r="AY67" s="1">
        <v>82</v>
      </c>
      <c r="AZ67" s="1">
        <v>81</v>
      </c>
      <c r="BA67" s="1">
        <v>80</v>
      </c>
      <c r="BC67" s="1" t="s">
        <v>801</v>
      </c>
      <c r="BD67" s="1">
        <f t="shared" si="24"/>
        <v>0.97560975609756095</v>
      </c>
      <c r="BE67" s="1">
        <f t="shared" si="25"/>
        <v>0.04</v>
      </c>
      <c r="BG67" s="3">
        <f>(82-2.4)/82</f>
        <v>0.97073170731707314</v>
      </c>
    </row>
    <row r="68" spans="1:59" ht="17.25" customHeight="1" x14ac:dyDescent="0.2">
      <c r="A68" s="4">
        <v>60</v>
      </c>
      <c r="B68" s="4" t="s">
        <v>134</v>
      </c>
      <c r="C68" s="4" t="s">
        <v>581</v>
      </c>
      <c r="D68" s="4" t="s">
        <v>210</v>
      </c>
      <c r="F68" s="12"/>
      <c r="G68" s="12" t="e">
        <f t="shared" si="2"/>
        <v>#DIV/0!</v>
      </c>
      <c r="V68" s="4">
        <v>2</v>
      </c>
      <c r="W68" s="4" t="s">
        <v>67</v>
      </c>
      <c r="Y68" s="4" t="s">
        <v>15</v>
      </c>
      <c r="Z68" s="4">
        <v>2</v>
      </c>
      <c r="AA68" s="4" t="s">
        <v>99</v>
      </c>
      <c r="AB68" s="4">
        <v>1</v>
      </c>
      <c r="AC68" s="4" t="s">
        <v>126</v>
      </c>
      <c r="AD68" s="6" t="s">
        <v>140</v>
      </c>
      <c r="AE68" s="12" t="s">
        <v>820</v>
      </c>
      <c r="AF68" s="12"/>
      <c r="AG68" s="6"/>
      <c r="AH68" s="4" t="s">
        <v>23</v>
      </c>
      <c r="AI68" s="4">
        <v>3.5</v>
      </c>
      <c r="AJ68" s="4">
        <v>4.3</v>
      </c>
      <c r="AL68" s="4" t="s">
        <v>118</v>
      </c>
      <c r="AM68" s="10" t="s">
        <v>127</v>
      </c>
      <c r="AP68" s="15">
        <v>50</v>
      </c>
      <c r="AQ68" s="4">
        <v>8.5000000000000006E-2</v>
      </c>
      <c r="AR68" s="7">
        <v>0.2</v>
      </c>
      <c r="AS68" s="7">
        <v>0.2</v>
      </c>
      <c r="AV68" s="4">
        <v>111</v>
      </c>
      <c r="AY68" s="4">
        <v>104</v>
      </c>
      <c r="AZ68" s="4">
        <v>102</v>
      </c>
      <c r="BA68" s="4">
        <v>101</v>
      </c>
      <c r="BC68" s="4" t="s">
        <v>801</v>
      </c>
      <c r="BD68" s="4">
        <f t="shared" si="24"/>
        <v>0.97115384615384615</v>
      </c>
      <c r="BE68" s="4">
        <f t="shared" si="25"/>
        <v>0.06</v>
      </c>
      <c r="BG68" s="7">
        <f>(104-0.9)/104</f>
        <v>0.99134615384615377</v>
      </c>
    </row>
    <row r="69" spans="1:59" s="1" customFormat="1" ht="19.5" customHeight="1" x14ac:dyDescent="0.2">
      <c r="A69" s="1">
        <v>60</v>
      </c>
      <c r="B69" s="1" t="s">
        <v>135</v>
      </c>
      <c r="C69" s="1" t="s">
        <v>581</v>
      </c>
      <c r="D69" s="1" t="s">
        <v>210</v>
      </c>
      <c r="F69" s="13"/>
      <c r="G69" s="12" t="e">
        <f t="shared" si="2"/>
        <v>#DIV/0!</v>
      </c>
      <c r="R69" s="3"/>
      <c r="V69" s="1">
        <v>2</v>
      </c>
      <c r="W69" s="1" t="s">
        <v>67</v>
      </c>
      <c r="Y69" s="1" t="s">
        <v>15</v>
      </c>
      <c r="Z69" s="1">
        <v>2</v>
      </c>
      <c r="AA69" s="1" t="s">
        <v>99</v>
      </c>
      <c r="AB69" s="1">
        <v>1</v>
      </c>
      <c r="AC69" s="1" t="s">
        <v>126</v>
      </c>
      <c r="AD69" s="5" t="s">
        <v>140</v>
      </c>
      <c r="AE69" s="13" t="s">
        <v>820</v>
      </c>
      <c r="AF69" s="13"/>
      <c r="AG69" s="5"/>
      <c r="AH69" s="1" t="s">
        <v>23</v>
      </c>
      <c r="AI69" s="1">
        <v>3.5</v>
      </c>
      <c r="AJ69" s="1">
        <v>4.3</v>
      </c>
      <c r="AL69" s="1" t="s">
        <v>118</v>
      </c>
      <c r="AM69" s="2" t="s">
        <v>127</v>
      </c>
      <c r="AN69" s="3"/>
      <c r="AP69" s="15">
        <v>50</v>
      </c>
      <c r="AQ69" s="1">
        <v>8.5000000000000006E-2</v>
      </c>
      <c r="AR69" s="3">
        <v>0.2</v>
      </c>
      <c r="AS69" s="3">
        <v>0.2</v>
      </c>
      <c r="AT69" s="3"/>
      <c r="AU69" s="3"/>
      <c r="AV69" s="1">
        <v>111</v>
      </c>
      <c r="AW69" s="3"/>
      <c r="AX69" s="3"/>
      <c r="AY69" s="1">
        <v>110</v>
      </c>
      <c r="AZ69" s="1">
        <v>104</v>
      </c>
      <c r="BA69" s="1">
        <v>101</v>
      </c>
      <c r="BC69" s="1" t="s">
        <v>801</v>
      </c>
      <c r="BD69" s="1">
        <f t="shared" si="24"/>
        <v>0.91818181818181821</v>
      </c>
      <c r="BE69" s="1">
        <f t="shared" si="25"/>
        <v>0.18</v>
      </c>
      <c r="BG69" s="3">
        <f>(110-2.5)/110</f>
        <v>0.97727272727272729</v>
      </c>
    </row>
    <row r="70" spans="1:59" ht="17.25" customHeight="1" x14ac:dyDescent="0.2">
      <c r="A70" s="4">
        <v>60</v>
      </c>
      <c r="B70" s="4" t="s">
        <v>5</v>
      </c>
      <c r="C70" s="4" t="s">
        <v>581</v>
      </c>
      <c r="D70" s="4" t="s">
        <v>210</v>
      </c>
      <c r="F70" s="12"/>
      <c r="G70" s="12" t="e">
        <f t="shared" si="2"/>
        <v>#DIV/0!</v>
      </c>
      <c r="V70" s="4">
        <v>2</v>
      </c>
      <c r="W70" s="4" t="s">
        <v>67</v>
      </c>
      <c r="Y70" s="4" t="s">
        <v>137</v>
      </c>
      <c r="Z70" s="4">
        <v>1</v>
      </c>
      <c r="AA70" s="4" t="s">
        <v>99</v>
      </c>
      <c r="AB70" s="4">
        <v>1</v>
      </c>
      <c r="AC70" s="4" t="s">
        <v>126</v>
      </c>
      <c r="AD70" s="6" t="s">
        <v>140</v>
      </c>
      <c r="AE70" s="12" t="s">
        <v>820</v>
      </c>
      <c r="AF70" s="12"/>
      <c r="AG70" s="6"/>
      <c r="AH70" s="4" t="s">
        <v>23</v>
      </c>
      <c r="AI70" s="4">
        <v>3.5</v>
      </c>
      <c r="AJ70" s="4">
        <v>4.3</v>
      </c>
      <c r="AL70" s="4" t="s">
        <v>118</v>
      </c>
      <c r="AM70" s="10" t="s">
        <v>127</v>
      </c>
      <c r="AP70" s="15">
        <v>50</v>
      </c>
      <c r="AQ70" s="4">
        <v>8.5000000000000006E-2</v>
      </c>
      <c r="AR70" s="7">
        <v>0.2</v>
      </c>
      <c r="AS70" s="7">
        <v>0.2</v>
      </c>
      <c r="AV70" s="4">
        <v>111</v>
      </c>
      <c r="AY70" s="4">
        <v>112</v>
      </c>
      <c r="AZ70" s="4">
        <v>69</v>
      </c>
      <c r="BC70" s="4" t="s">
        <v>801</v>
      </c>
    </row>
    <row r="71" spans="1:59" s="1" customFormat="1" ht="19.5" customHeight="1" x14ac:dyDescent="0.2">
      <c r="A71" s="1">
        <v>60</v>
      </c>
      <c r="B71" s="1" t="s">
        <v>133</v>
      </c>
      <c r="C71" s="1" t="s">
        <v>581</v>
      </c>
      <c r="D71" s="1" t="s">
        <v>210</v>
      </c>
      <c r="F71" s="13"/>
      <c r="G71" s="12" t="e">
        <f t="shared" ref="G71:G134" si="26">AVERAGE(H71:O71)</f>
        <v>#DIV/0!</v>
      </c>
      <c r="R71" s="3"/>
      <c r="V71" s="1">
        <v>2</v>
      </c>
      <c r="W71" s="1" t="s">
        <v>67</v>
      </c>
      <c r="Y71" s="1" t="s">
        <v>137</v>
      </c>
      <c r="Z71" s="1">
        <v>1</v>
      </c>
      <c r="AA71" s="1" t="s">
        <v>99</v>
      </c>
      <c r="AB71" s="1">
        <v>1</v>
      </c>
      <c r="AC71" s="1" t="s">
        <v>126</v>
      </c>
      <c r="AD71" s="5" t="s">
        <v>140</v>
      </c>
      <c r="AE71" s="13" t="s">
        <v>820</v>
      </c>
      <c r="AF71" s="13"/>
      <c r="AG71" s="5"/>
      <c r="AH71" s="1" t="s">
        <v>23</v>
      </c>
      <c r="AI71" s="1">
        <v>3.5</v>
      </c>
      <c r="AJ71" s="1">
        <v>4.3</v>
      </c>
      <c r="AL71" s="1" t="s">
        <v>118</v>
      </c>
      <c r="AM71" s="2" t="s">
        <v>127</v>
      </c>
      <c r="AN71" s="3"/>
      <c r="AP71" s="15">
        <v>50</v>
      </c>
      <c r="AQ71" s="1">
        <v>8.5000000000000006E-2</v>
      </c>
      <c r="AR71" s="3">
        <v>0.2</v>
      </c>
      <c r="AS71" s="3">
        <v>0.2</v>
      </c>
      <c r="AT71" s="3"/>
      <c r="AU71" s="3"/>
      <c r="AV71" s="1">
        <v>111</v>
      </c>
      <c r="AW71" s="3"/>
      <c r="AX71" s="3"/>
      <c r="AY71" s="1">
        <v>73</v>
      </c>
      <c r="AZ71" s="1">
        <v>59</v>
      </c>
      <c r="BC71" s="1" t="s">
        <v>801</v>
      </c>
      <c r="BG71" s="3"/>
    </row>
    <row r="72" spans="1:59" ht="17.25" customHeight="1" x14ac:dyDescent="0.2">
      <c r="A72" s="4">
        <v>60</v>
      </c>
      <c r="B72" s="4" t="s">
        <v>134</v>
      </c>
      <c r="C72" s="4" t="s">
        <v>581</v>
      </c>
      <c r="D72" s="4" t="s">
        <v>210</v>
      </c>
      <c r="F72" s="12"/>
      <c r="G72" s="12" t="e">
        <f t="shared" si="26"/>
        <v>#DIV/0!</v>
      </c>
      <c r="V72" s="4">
        <v>2</v>
      </c>
      <c r="W72" s="4" t="s">
        <v>67</v>
      </c>
      <c r="Y72" s="4" t="s">
        <v>137</v>
      </c>
      <c r="Z72" s="4">
        <v>1</v>
      </c>
      <c r="AA72" s="4" t="s">
        <v>99</v>
      </c>
      <c r="AB72" s="4">
        <v>1</v>
      </c>
      <c r="AC72" s="4" t="s">
        <v>126</v>
      </c>
      <c r="AD72" s="6" t="s">
        <v>140</v>
      </c>
      <c r="AE72" s="12" t="s">
        <v>820</v>
      </c>
      <c r="AF72" s="12"/>
      <c r="AG72" s="6"/>
      <c r="AH72" s="4" t="s">
        <v>23</v>
      </c>
      <c r="AI72" s="4">
        <v>3.5</v>
      </c>
      <c r="AJ72" s="4">
        <v>4.3</v>
      </c>
      <c r="AL72" s="4" t="s">
        <v>118</v>
      </c>
      <c r="AM72" s="10" t="s">
        <v>127</v>
      </c>
      <c r="AP72" s="15">
        <v>50</v>
      </c>
      <c r="AQ72" s="4">
        <v>8.5000000000000006E-2</v>
      </c>
      <c r="AR72" s="7">
        <v>0.2</v>
      </c>
      <c r="AS72" s="7">
        <v>0.2</v>
      </c>
      <c r="AV72" s="4">
        <v>111</v>
      </c>
      <c r="AY72" s="4">
        <v>93</v>
      </c>
      <c r="AZ72" s="4">
        <v>77</v>
      </c>
      <c r="BC72" s="4" t="s">
        <v>801</v>
      </c>
    </row>
    <row r="73" spans="1:59" s="1" customFormat="1" ht="19.5" customHeight="1" x14ac:dyDescent="0.2">
      <c r="A73" s="1" t="s">
        <v>167</v>
      </c>
      <c r="B73" s="1" t="s">
        <v>5</v>
      </c>
      <c r="C73" s="1" t="s">
        <v>582</v>
      </c>
      <c r="D73" s="1" t="s">
        <v>210</v>
      </c>
      <c r="F73" s="13"/>
      <c r="G73" s="12" t="e">
        <f t="shared" si="26"/>
        <v>#DIV/0!</v>
      </c>
      <c r="R73" s="3"/>
      <c r="V73" s="1">
        <v>2</v>
      </c>
      <c r="W73" s="1" t="s">
        <v>67</v>
      </c>
      <c r="Y73" s="1" t="s">
        <v>15</v>
      </c>
      <c r="Z73" s="1">
        <v>2</v>
      </c>
      <c r="AA73" s="1" t="s">
        <v>138</v>
      </c>
      <c r="AB73" s="1">
        <v>1</v>
      </c>
      <c r="AC73" s="1" t="s">
        <v>136</v>
      </c>
      <c r="AD73" s="5" t="s">
        <v>141</v>
      </c>
      <c r="AE73" s="13" t="s">
        <v>820</v>
      </c>
      <c r="AF73" s="13"/>
      <c r="AG73" s="5"/>
      <c r="AI73" s="1">
        <v>3.4</v>
      </c>
      <c r="AJ73" s="1">
        <v>4.5</v>
      </c>
      <c r="AM73" s="2" t="s">
        <v>139</v>
      </c>
      <c r="AN73" s="3"/>
      <c r="AP73" s="15"/>
      <c r="AR73" s="3">
        <v>0.2</v>
      </c>
      <c r="AS73" s="3">
        <v>0.2</v>
      </c>
      <c r="AT73" s="3"/>
      <c r="AU73" s="3"/>
      <c r="AV73" s="1">
        <v>126</v>
      </c>
      <c r="AW73" s="3"/>
      <c r="AX73" s="3"/>
      <c r="AY73" s="1">
        <v>110</v>
      </c>
      <c r="AZ73" s="1">
        <v>90</v>
      </c>
      <c r="BA73" s="1">
        <v>85</v>
      </c>
      <c r="BB73" s="1">
        <v>79</v>
      </c>
      <c r="BD73" s="1">
        <f t="shared" ref="BD73" si="27">BA73/AY73</f>
        <v>0.77272727272727271</v>
      </c>
      <c r="BE73" s="1">
        <f t="shared" ref="BE73" si="28">(AY73-BA73)/50</f>
        <v>0.5</v>
      </c>
      <c r="BG73" s="3"/>
    </row>
    <row r="74" spans="1:59" ht="17.25" customHeight="1" x14ac:dyDescent="0.2">
      <c r="A74" s="4" t="s">
        <v>167</v>
      </c>
      <c r="B74" s="4" t="s">
        <v>5</v>
      </c>
      <c r="C74" s="4" t="s">
        <v>582</v>
      </c>
      <c r="D74" s="4" t="s">
        <v>210</v>
      </c>
      <c r="F74" s="12"/>
      <c r="G74" s="12">
        <f t="shared" si="26"/>
        <v>3.86</v>
      </c>
      <c r="L74" s="4">
        <v>3.86</v>
      </c>
      <c r="V74" s="4">
        <v>2</v>
      </c>
      <c r="W74" s="4" t="s">
        <v>67</v>
      </c>
      <c r="Y74" s="4" t="s">
        <v>86</v>
      </c>
      <c r="Z74" s="4">
        <v>1</v>
      </c>
      <c r="AA74" s="4" t="s">
        <v>138</v>
      </c>
      <c r="AB74" s="4">
        <v>1</v>
      </c>
      <c r="AC74" s="4" t="s">
        <v>136</v>
      </c>
      <c r="AD74" s="6" t="s">
        <v>141</v>
      </c>
      <c r="AE74" s="12" t="s">
        <v>820</v>
      </c>
      <c r="AF74" s="12"/>
      <c r="AG74" s="6"/>
      <c r="AI74" s="4">
        <v>2.5</v>
      </c>
      <c r="AJ74" s="4">
        <v>4.5</v>
      </c>
      <c r="AM74" s="10" t="s">
        <v>139</v>
      </c>
      <c r="AR74" s="7">
        <v>0.2</v>
      </c>
      <c r="AS74" s="7">
        <v>0.2</v>
      </c>
      <c r="AV74" s="4">
        <v>126</v>
      </c>
      <c r="AY74" s="4">
        <v>80</v>
      </c>
      <c r="AZ74" s="4">
        <v>78</v>
      </c>
      <c r="BA74" s="4">
        <v>74</v>
      </c>
      <c r="BD74" s="4">
        <f t="shared" ref="BD74:BD80" si="29">BA74/AY74</f>
        <v>0.92500000000000004</v>
      </c>
      <c r="BE74" s="4">
        <f t="shared" ref="BE74:BE80" si="30">(AY74-BA74)/50</f>
        <v>0.12</v>
      </c>
    </row>
    <row r="75" spans="1:59" s="1" customFormat="1" ht="19.5" customHeight="1" x14ac:dyDescent="0.2">
      <c r="A75" s="1" t="s">
        <v>167</v>
      </c>
      <c r="B75" s="1" t="s">
        <v>142</v>
      </c>
      <c r="C75" s="1" t="s">
        <v>582</v>
      </c>
      <c r="D75" s="1" t="s">
        <v>210</v>
      </c>
      <c r="F75" s="13"/>
      <c r="G75" s="12" t="e">
        <f t="shared" si="26"/>
        <v>#DIV/0!</v>
      </c>
      <c r="R75" s="3"/>
      <c r="V75" s="1">
        <v>2</v>
      </c>
      <c r="W75" s="1" t="s">
        <v>67</v>
      </c>
      <c r="Y75" s="1" t="s">
        <v>15</v>
      </c>
      <c r="Z75" s="1">
        <v>2</v>
      </c>
      <c r="AA75" s="1" t="s">
        <v>138</v>
      </c>
      <c r="AB75" s="1">
        <v>1</v>
      </c>
      <c r="AC75" s="1" t="s">
        <v>136</v>
      </c>
      <c r="AD75" s="5" t="s">
        <v>141</v>
      </c>
      <c r="AE75" s="13" t="s">
        <v>820</v>
      </c>
      <c r="AF75" s="13"/>
      <c r="AG75" s="5"/>
      <c r="AM75" s="2" t="s">
        <v>139</v>
      </c>
      <c r="AN75" s="3"/>
      <c r="AP75" s="15"/>
      <c r="AR75" s="3">
        <v>0.2</v>
      </c>
      <c r="AS75" s="3">
        <v>0.2</v>
      </c>
      <c r="AT75" s="3"/>
      <c r="AU75" s="3"/>
      <c r="AV75" s="1">
        <v>126</v>
      </c>
      <c r="AW75" s="3"/>
      <c r="AX75" s="3"/>
      <c r="AY75" s="1">
        <v>112</v>
      </c>
      <c r="AZ75" s="1">
        <v>106</v>
      </c>
      <c r="BA75" s="1">
        <v>104</v>
      </c>
      <c r="BB75" s="1">
        <v>101</v>
      </c>
      <c r="BD75" s="1">
        <f t="shared" si="29"/>
        <v>0.9285714285714286</v>
      </c>
      <c r="BE75" s="1">
        <f t="shared" si="30"/>
        <v>0.16</v>
      </c>
      <c r="BG75" s="3"/>
    </row>
    <row r="76" spans="1:59" ht="17.25" customHeight="1" x14ac:dyDescent="0.2">
      <c r="A76" s="4" t="s">
        <v>167</v>
      </c>
      <c r="B76" s="4" t="s">
        <v>143</v>
      </c>
      <c r="C76" s="4" t="s">
        <v>582</v>
      </c>
      <c r="D76" s="4" t="s">
        <v>210</v>
      </c>
      <c r="F76" s="12"/>
      <c r="G76" s="12" t="e">
        <f t="shared" si="26"/>
        <v>#DIV/0!</v>
      </c>
      <c r="V76" s="4">
        <v>2</v>
      </c>
      <c r="W76" s="4" t="s">
        <v>67</v>
      </c>
      <c r="Y76" s="4" t="s">
        <v>15</v>
      </c>
      <c r="Z76" s="4">
        <v>2</v>
      </c>
      <c r="AA76" s="4" t="s">
        <v>138</v>
      </c>
      <c r="AB76" s="4">
        <v>1</v>
      </c>
      <c r="AC76" s="4" t="s">
        <v>136</v>
      </c>
      <c r="AD76" s="6" t="s">
        <v>141</v>
      </c>
      <c r="AE76" s="12" t="s">
        <v>820</v>
      </c>
      <c r="AF76" s="12"/>
      <c r="AG76" s="6"/>
      <c r="AI76" s="4">
        <v>3.4</v>
      </c>
      <c r="AJ76" s="4">
        <v>4.5</v>
      </c>
      <c r="AM76" s="10" t="s">
        <v>139</v>
      </c>
      <c r="AR76" s="7">
        <v>0.2</v>
      </c>
      <c r="AS76" s="7">
        <v>0.2</v>
      </c>
      <c r="AV76" s="4">
        <v>126</v>
      </c>
      <c r="AY76" s="4">
        <v>101</v>
      </c>
      <c r="AZ76" s="4">
        <v>95</v>
      </c>
      <c r="BA76" s="4">
        <v>93</v>
      </c>
      <c r="BB76" s="4">
        <v>90</v>
      </c>
      <c r="BD76" s="4">
        <f t="shared" si="29"/>
        <v>0.92079207920792083</v>
      </c>
      <c r="BE76" s="4">
        <f t="shared" si="30"/>
        <v>0.16</v>
      </c>
    </row>
    <row r="77" spans="1:59" s="1" customFormat="1" ht="19.5" customHeight="1" x14ac:dyDescent="0.2">
      <c r="A77" s="1" t="s">
        <v>167</v>
      </c>
      <c r="B77" s="1" t="s">
        <v>144</v>
      </c>
      <c r="C77" s="1" t="s">
        <v>582</v>
      </c>
      <c r="D77" s="1" t="s">
        <v>210</v>
      </c>
      <c r="F77" s="13"/>
      <c r="G77" s="12">
        <f t="shared" si="26"/>
        <v>3.8</v>
      </c>
      <c r="L77" s="1">
        <v>3.8</v>
      </c>
      <c r="R77" s="3"/>
      <c r="V77" s="1">
        <v>2</v>
      </c>
      <c r="W77" s="1" t="s">
        <v>67</v>
      </c>
      <c r="Y77" s="1" t="s">
        <v>15</v>
      </c>
      <c r="Z77" s="1">
        <v>2</v>
      </c>
      <c r="AA77" s="1" t="s">
        <v>138</v>
      </c>
      <c r="AB77" s="1">
        <v>1</v>
      </c>
      <c r="AC77" s="1" t="s">
        <v>136</v>
      </c>
      <c r="AD77" s="5" t="s">
        <v>141</v>
      </c>
      <c r="AE77" s="13" t="s">
        <v>820</v>
      </c>
      <c r="AF77" s="13"/>
      <c r="AG77" s="5"/>
      <c r="AI77" s="1">
        <v>3.4</v>
      </c>
      <c r="AJ77" s="1">
        <v>4.5</v>
      </c>
      <c r="AM77" s="2" t="s">
        <v>139</v>
      </c>
      <c r="AN77" s="3"/>
      <c r="AP77" s="15"/>
      <c r="AR77" s="3">
        <v>0.2</v>
      </c>
      <c r="AS77" s="3">
        <v>0.2</v>
      </c>
      <c r="AT77" s="3"/>
      <c r="AU77" s="3"/>
      <c r="AV77" s="1">
        <v>126</v>
      </c>
      <c r="AW77" s="3"/>
      <c r="AX77" s="3"/>
      <c r="AY77" s="1">
        <v>116</v>
      </c>
      <c r="AZ77" s="1">
        <v>112</v>
      </c>
      <c r="BA77" s="1">
        <v>111</v>
      </c>
      <c r="BB77" s="1">
        <v>109</v>
      </c>
      <c r="BD77" s="1">
        <f t="shared" si="29"/>
        <v>0.9568965517241379</v>
      </c>
      <c r="BE77" s="1">
        <f t="shared" si="30"/>
        <v>0.1</v>
      </c>
      <c r="BG77" s="3"/>
    </row>
    <row r="78" spans="1:59" ht="17.25" customHeight="1" x14ac:dyDescent="0.2">
      <c r="A78" s="4" t="s">
        <v>167</v>
      </c>
      <c r="B78" s="4" t="s">
        <v>145</v>
      </c>
      <c r="C78" s="4" t="s">
        <v>582</v>
      </c>
      <c r="D78" s="4" t="s">
        <v>210</v>
      </c>
      <c r="F78" s="12"/>
      <c r="G78" s="12" t="e">
        <f t="shared" si="26"/>
        <v>#DIV/0!</v>
      </c>
      <c r="V78" s="4">
        <v>2</v>
      </c>
      <c r="W78" s="4" t="s">
        <v>67</v>
      </c>
      <c r="Y78" s="4" t="s">
        <v>15</v>
      </c>
      <c r="Z78" s="4">
        <v>2</v>
      </c>
      <c r="AA78" s="4" t="s">
        <v>138</v>
      </c>
      <c r="AB78" s="4">
        <v>1</v>
      </c>
      <c r="AC78" s="4" t="s">
        <v>136</v>
      </c>
      <c r="AD78" s="6" t="s">
        <v>141</v>
      </c>
      <c r="AE78" s="12" t="s">
        <v>820</v>
      </c>
      <c r="AF78" s="12"/>
      <c r="AG78" s="6"/>
      <c r="AI78" s="4">
        <v>3.4</v>
      </c>
      <c r="AJ78" s="4">
        <v>4.5</v>
      </c>
      <c r="AM78" s="10" t="s">
        <v>139</v>
      </c>
      <c r="AR78" s="7">
        <v>0.2</v>
      </c>
      <c r="AS78" s="7">
        <v>0.2</v>
      </c>
      <c r="AV78" s="4">
        <v>126</v>
      </c>
      <c r="AY78" s="4">
        <v>123</v>
      </c>
      <c r="AZ78" s="4">
        <v>117</v>
      </c>
      <c r="BA78" s="4">
        <v>113</v>
      </c>
      <c r="BB78" s="4">
        <v>109</v>
      </c>
      <c r="BD78" s="4">
        <f t="shared" si="29"/>
        <v>0.91869918699186992</v>
      </c>
      <c r="BE78" s="4">
        <f t="shared" si="30"/>
        <v>0.2</v>
      </c>
    </row>
    <row r="79" spans="1:59" s="1" customFormat="1" ht="19.5" customHeight="1" x14ac:dyDescent="0.2">
      <c r="A79" s="1" t="s">
        <v>167</v>
      </c>
      <c r="B79" s="1" t="s">
        <v>5</v>
      </c>
      <c r="C79" s="1" t="s">
        <v>582</v>
      </c>
      <c r="D79" s="1" t="s">
        <v>210</v>
      </c>
      <c r="F79" s="13"/>
      <c r="G79" s="12" t="e">
        <f t="shared" si="26"/>
        <v>#DIV/0!</v>
      </c>
      <c r="R79" s="3"/>
      <c r="V79" s="1">
        <v>2</v>
      </c>
      <c r="W79" s="1" t="s">
        <v>67</v>
      </c>
      <c r="Y79" s="1" t="s">
        <v>15</v>
      </c>
      <c r="Z79" s="1">
        <v>2</v>
      </c>
      <c r="AA79" s="1" t="s">
        <v>138</v>
      </c>
      <c r="AB79" s="1">
        <v>1</v>
      </c>
      <c r="AC79" s="1" t="s">
        <v>136</v>
      </c>
      <c r="AD79" s="5" t="s">
        <v>141</v>
      </c>
      <c r="AE79" s="13" t="s">
        <v>820</v>
      </c>
      <c r="AF79" s="13"/>
      <c r="AG79" s="5"/>
      <c r="AI79" s="1">
        <v>3.4</v>
      </c>
      <c r="AJ79" s="1">
        <v>4.5</v>
      </c>
      <c r="AM79" s="2" t="s">
        <v>139</v>
      </c>
      <c r="AN79" s="3"/>
      <c r="AP79" s="15"/>
      <c r="AR79" s="3">
        <f t="shared" ref="AR79:AS81" si="31">1/7</f>
        <v>0.14285714285714285</v>
      </c>
      <c r="AS79" s="3">
        <f t="shared" si="31"/>
        <v>0.14285714285714285</v>
      </c>
      <c r="AT79" s="3"/>
      <c r="AU79" s="3"/>
      <c r="AV79" s="1">
        <v>126</v>
      </c>
      <c r="AW79" s="3"/>
      <c r="AX79" s="3"/>
      <c r="AY79" s="1">
        <v>120</v>
      </c>
      <c r="AZ79" s="1">
        <v>98</v>
      </c>
      <c r="BA79" s="1">
        <v>91</v>
      </c>
      <c r="BB79" s="1">
        <v>82</v>
      </c>
      <c r="BD79" s="1">
        <f t="shared" si="29"/>
        <v>0.7583333333333333</v>
      </c>
      <c r="BE79" s="1">
        <f t="shared" si="30"/>
        <v>0.57999999999999996</v>
      </c>
      <c r="BG79" s="3"/>
    </row>
    <row r="80" spans="1:59" ht="17.25" customHeight="1" x14ac:dyDescent="0.2">
      <c r="A80" s="4" t="s">
        <v>167</v>
      </c>
      <c r="B80" s="4" t="s">
        <v>144</v>
      </c>
      <c r="C80" s="4" t="s">
        <v>582</v>
      </c>
      <c r="D80" s="4" t="s">
        <v>210</v>
      </c>
      <c r="F80" s="12">
        <v>4.05</v>
      </c>
      <c r="G80" s="12" t="e">
        <f t="shared" si="26"/>
        <v>#DIV/0!</v>
      </c>
      <c r="V80" s="4">
        <v>2</v>
      </c>
      <c r="W80" s="4" t="s">
        <v>67</v>
      </c>
      <c r="Y80" s="4" t="s">
        <v>15</v>
      </c>
      <c r="Z80" s="4">
        <v>2</v>
      </c>
      <c r="AA80" s="4" t="s">
        <v>138</v>
      </c>
      <c r="AB80" s="4">
        <v>1</v>
      </c>
      <c r="AC80" s="4" t="s">
        <v>136</v>
      </c>
      <c r="AD80" s="6" t="s">
        <v>141</v>
      </c>
      <c r="AE80" s="12" t="s">
        <v>820</v>
      </c>
      <c r="AF80" s="12">
        <v>4.05</v>
      </c>
      <c r="AG80" s="6"/>
      <c r="AI80" s="4">
        <v>3.4</v>
      </c>
      <c r="AJ80" s="4">
        <v>4.5</v>
      </c>
      <c r="AM80" s="10" t="s">
        <v>139</v>
      </c>
      <c r="AR80" s="7">
        <f t="shared" si="31"/>
        <v>0.14285714285714285</v>
      </c>
      <c r="AS80" s="7">
        <f t="shared" si="31"/>
        <v>0.14285714285714285</v>
      </c>
      <c r="AV80" s="4">
        <v>126</v>
      </c>
      <c r="AY80" s="4">
        <v>114</v>
      </c>
      <c r="AZ80" s="4">
        <v>107</v>
      </c>
      <c r="BA80" s="4">
        <v>105</v>
      </c>
      <c r="BB80" s="4">
        <v>101</v>
      </c>
      <c r="BD80" s="4">
        <f t="shared" si="29"/>
        <v>0.92105263157894735</v>
      </c>
      <c r="BE80" s="4">
        <f t="shared" si="30"/>
        <v>0.18</v>
      </c>
    </row>
    <row r="81" spans="1:59" s="1" customFormat="1" ht="19.5" customHeight="1" x14ac:dyDescent="0.2">
      <c r="A81" s="1">
        <v>55</v>
      </c>
      <c r="B81" s="1" t="s">
        <v>144</v>
      </c>
      <c r="C81" s="1" t="s">
        <v>582</v>
      </c>
      <c r="D81" s="1" t="s">
        <v>210</v>
      </c>
      <c r="F81" s="13"/>
      <c r="G81" s="12" t="e">
        <f t="shared" si="26"/>
        <v>#DIV/0!</v>
      </c>
      <c r="R81" s="3"/>
      <c r="V81" s="1">
        <v>2</v>
      </c>
      <c r="W81" s="1" t="s">
        <v>67</v>
      </c>
      <c r="Y81" s="1" t="s">
        <v>15</v>
      </c>
      <c r="Z81" s="1">
        <v>2</v>
      </c>
      <c r="AA81" s="1" t="s">
        <v>138</v>
      </c>
      <c r="AB81" s="1">
        <v>1</v>
      </c>
      <c r="AC81" s="1" t="s">
        <v>136</v>
      </c>
      <c r="AD81" s="5" t="s">
        <v>141</v>
      </c>
      <c r="AE81" s="13" t="s">
        <v>820</v>
      </c>
      <c r="AF81" s="13"/>
      <c r="AG81" s="5"/>
      <c r="AI81" s="1">
        <v>3.4</v>
      </c>
      <c r="AJ81" s="1">
        <v>4.5</v>
      </c>
      <c r="AM81" s="2" t="s">
        <v>139</v>
      </c>
      <c r="AN81" s="3"/>
      <c r="AP81" s="15"/>
      <c r="AR81" s="3">
        <f t="shared" si="31"/>
        <v>0.14285714285714285</v>
      </c>
      <c r="AS81" s="3">
        <f t="shared" si="31"/>
        <v>0.14285714285714285</v>
      </c>
      <c r="AT81" s="3"/>
      <c r="AU81" s="3"/>
      <c r="AV81" s="1">
        <v>126</v>
      </c>
      <c r="AW81" s="3"/>
      <c r="AX81" s="3"/>
      <c r="AY81" s="1">
        <v>116</v>
      </c>
      <c r="AZ81" s="1">
        <v>96.5</v>
      </c>
      <c r="BA81" s="1">
        <v>91</v>
      </c>
      <c r="BB81" s="1">
        <v>82</v>
      </c>
      <c r="BD81" s="1">
        <f t="shared" ref="BD81" si="32">BA81/AY81</f>
        <v>0.78448275862068961</v>
      </c>
      <c r="BE81" s="1">
        <f t="shared" ref="BE81" si="33">(AY81-BA81)/50</f>
        <v>0.5</v>
      </c>
      <c r="BG81" s="3"/>
    </row>
    <row r="82" spans="1:59" ht="17.25" customHeight="1" x14ac:dyDescent="0.2">
      <c r="A82" s="4">
        <v>55</v>
      </c>
      <c r="B82" s="4" t="s">
        <v>146</v>
      </c>
      <c r="C82" s="4" t="s">
        <v>582</v>
      </c>
      <c r="D82" s="4" t="s">
        <v>210</v>
      </c>
      <c r="F82" s="12"/>
      <c r="G82" s="12" t="e">
        <f t="shared" si="26"/>
        <v>#DIV/0!</v>
      </c>
      <c r="V82" s="4">
        <v>2</v>
      </c>
      <c r="W82" s="4" t="s">
        <v>67</v>
      </c>
      <c r="Y82" s="4" t="s">
        <v>15</v>
      </c>
      <c r="Z82" s="4">
        <v>2</v>
      </c>
      <c r="AA82" s="4" t="s">
        <v>138</v>
      </c>
      <c r="AB82" s="4">
        <v>1</v>
      </c>
      <c r="AC82" s="4" t="s">
        <v>136</v>
      </c>
      <c r="AD82" s="6" t="s">
        <v>141</v>
      </c>
      <c r="AE82" s="12" t="s">
        <v>820</v>
      </c>
      <c r="AF82" s="12"/>
      <c r="AG82" s="6"/>
      <c r="AI82" s="4">
        <v>3.4</v>
      </c>
      <c r="AJ82" s="4">
        <v>4.5</v>
      </c>
      <c r="AM82" s="10" t="s">
        <v>139</v>
      </c>
      <c r="AR82" s="7">
        <v>0.2</v>
      </c>
      <c r="AS82" s="7">
        <v>0.2</v>
      </c>
      <c r="AV82" s="4">
        <v>126</v>
      </c>
      <c r="AY82" s="4">
        <v>111</v>
      </c>
      <c r="AZ82" s="4">
        <v>100</v>
      </c>
      <c r="BA82" s="4">
        <v>102</v>
      </c>
      <c r="BB82" s="4">
        <v>102</v>
      </c>
      <c r="BD82" s="4">
        <f t="shared" ref="BD82" si="34">BA82/AY82</f>
        <v>0.91891891891891897</v>
      </c>
      <c r="BE82" s="4">
        <f t="shared" ref="BE82" si="35">(AY82-BA82)/50</f>
        <v>0.18</v>
      </c>
    </row>
    <row r="83" spans="1:59" s="1" customFormat="1" ht="19.5" customHeight="1" x14ac:dyDescent="0.2">
      <c r="A83" s="1">
        <v>55</v>
      </c>
      <c r="B83" s="1" t="s">
        <v>147</v>
      </c>
      <c r="C83" s="1" t="s">
        <v>582</v>
      </c>
      <c r="D83" s="1" t="s">
        <v>210</v>
      </c>
      <c r="F83" s="13"/>
      <c r="G83" s="12" t="e">
        <f t="shared" si="26"/>
        <v>#DIV/0!</v>
      </c>
      <c r="R83" s="3"/>
      <c r="V83" s="1">
        <v>2</v>
      </c>
      <c r="W83" s="1" t="s">
        <v>67</v>
      </c>
      <c r="Y83" s="1" t="s">
        <v>15</v>
      </c>
      <c r="Z83" s="1">
        <v>2</v>
      </c>
      <c r="AA83" s="1" t="s">
        <v>138</v>
      </c>
      <c r="AB83" s="1">
        <v>1</v>
      </c>
      <c r="AC83" s="1" t="s">
        <v>136</v>
      </c>
      <c r="AD83" s="5" t="s">
        <v>141</v>
      </c>
      <c r="AE83" s="13" t="s">
        <v>820</v>
      </c>
      <c r="AF83" s="13"/>
      <c r="AG83" s="5"/>
      <c r="AI83" s="1">
        <v>3.4</v>
      </c>
      <c r="AJ83" s="1">
        <v>4.5</v>
      </c>
      <c r="AM83" s="2" t="s">
        <v>139</v>
      </c>
      <c r="AN83" s="3"/>
      <c r="AP83" s="15"/>
      <c r="AR83" s="3">
        <v>0.2</v>
      </c>
      <c r="AS83" s="3">
        <v>0.2</v>
      </c>
      <c r="AT83" s="3"/>
      <c r="AU83" s="3"/>
      <c r="AV83" s="1">
        <v>126</v>
      </c>
      <c r="AW83" s="3"/>
      <c r="AX83" s="3"/>
      <c r="AY83" s="1">
        <v>108</v>
      </c>
      <c r="AZ83" s="1">
        <v>99</v>
      </c>
      <c r="BA83" s="1">
        <v>99</v>
      </c>
      <c r="BB83" s="1">
        <v>92</v>
      </c>
      <c r="BD83" s="1">
        <f>BA83/AY83</f>
        <v>0.91666666666666663</v>
      </c>
      <c r="BE83" s="1">
        <f t="shared" ref="BE83" si="36">(AY83-BA83)/50</f>
        <v>0.18</v>
      </c>
      <c r="BG83" s="3"/>
    </row>
    <row r="84" spans="1:59" ht="17.25" customHeight="1" x14ac:dyDescent="0.2">
      <c r="A84" s="4">
        <v>55</v>
      </c>
      <c r="B84" s="4" t="s">
        <v>148</v>
      </c>
      <c r="C84" s="4" t="s">
        <v>582</v>
      </c>
      <c r="D84" s="4" t="s">
        <v>210</v>
      </c>
      <c r="F84" s="12"/>
      <c r="G84" s="12" t="e">
        <f t="shared" si="26"/>
        <v>#DIV/0!</v>
      </c>
      <c r="V84" s="4">
        <v>2</v>
      </c>
      <c r="W84" s="4" t="s">
        <v>67</v>
      </c>
      <c r="Y84" s="4" t="s">
        <v>15</v>
      </c>
      <c r="Z84" s="4">
        <v>2</v>
      </c>
      <c r="AA84" s="4" t="s">
        <v>138</v>
      </c>
      <c r="AB84" s="4">
        <v>1</v>
      </c>
      <c r="AC84" s="4" t="s">
        <v>136</v>
      </c>
      <c r="AD84" s="6" t="s">
        <v>141</v>
      </c>
      <c r="AE84" s="12" t="s">
        <v>820</v>
      </c>
      <c r="AF84" s="12"/>
      <c r="AG84" s="6"/>
      <c r="AI84" s="4">
        <v>3.4</v>
      </c>
      <c r="AJ84" s="4">
        <v>4.5</v>
      </c>
      <c r="AM84" s="10" t="s">
        <v>139</v>
      </c>
      <c r="AR84" s="7">
        <v>0.2</v>
      </c>
      <c r="AS84" s="7">
        <v>0.2</v>
      </c>
      <c r="AV84" s="4">
        <v>126</v>
      </c>
      <c r="AY84" s="4">
        <v>111</v>
      </c>
      <c r="AZ84" s="4">
        <v>100</v>
      </c>
      <c r="BA84" s="4">
        <v>102</v>
      </c>
      <c r="BB84" s="4">
        <v>102</v>
      </c>
      <c r="BD84" s="4">
        <f t="shared" ref="BD84" si="37">BA84/AY84</f>
        <v>0.91891891891891897</v>
      </c>
      <c r="BE84" s="4">
        <f t="shared" ref="BE84" si="38">(AY84-BA84)/50</f>
        <v>0.18</v>
      </c>
    </row>
    <row r="85" spans="1:59" s="1" customFormat="1" ht="19.5" customHeight="1" x14ac:dyDescent="0.2">
      <c r="A85" s="1">
        <v>22</v>
      </c>
      <c r="B85" s="1" t="s">
        <v>148</v>
      </c>
      <c r="C85" s="1" t="s">
        <v>582</v>
      </c>
      <c r="D85" s="1" t="s">
        <v>210</v>
      </c>
      <c r="F85" s="13"/>
      <c r="G85" s="12" t="e">
        <f t="shared" si="26"/>
        <v>#DIV/0!</v>
      </c>
      <c r="R85" s="3"/>
      <c r="V85" s="1">
        <v>2</v>
      </c>
      <c r="W85" s="1" t="s">
        <v>67</v>
      </c>
      <c r="Y85" s="1" t="s">
        <v>15</v>
      </c>
      <c r="Z85" s="1">
        <v>2</v>
      </c>
      <c r="AA85" s="1" t="s">
        <v>138</v>
      </c>
      <c r="AB85" s="1">
        <v>1</v>
      </c>
      <c r="AC85" s="1" t="s">
        <v>136</v>
      </c>
      <c r="AD85" s="5" t="s">
        <v>141</v>
      </c>
      <c r="AE85" s="13" t="s">
        <v>820</v>
      </c>
      <c r="AF85" s="13"/>
      <c r="AG85" s="5"/>
      <c r="AI85" s="1">
        <v>3.4</v>
      </c>
      <c r="AJ85" s="1">
        <v>4.5</v>
      </c>
      <c r="AM85" s="2" t="s">
        <v>139</v>
      </c>
      <c r="AN85" s="3"/>
      <c r="AP85" s="15"/>
      <c r="AR85" s="3">
        <v>0.2</v>
      </c>
      <c r="AS85" s="3">
        <v>0.2</v>
      </c>
      <c r="AT85" s="3"/>
      <c r="AU85" s="3"/>
      <c r="AV85" s="1">
        <v>126</v>
      </c>
      <c r="AW85" s="3"/>
      <c r="AX85" s="3"/>
      <c r="AY85" s="1">
        <v>97</v>
      </c>
      <c r="AZ85" s="1">
        <v>94</v>
      </c>
      <c r="BA85" s="1">
        <v>93</v>
      </c>
      <c r="BB85" s="1">
        <v>91</v>
      </c>
      <c r="BD85" s="1">
        <f t="shared" ref="BD85:BD87" si="39">BA85/AY85</f>
        <v>0.95876288659793818</v>
      </c>
      <c r="BE85" s="1">
        <f t="shared" ref="BE85:BE87" si="40">(AY85-BA85)/50</f>
        <v>0.08</v>
      </c>
      <c r="BG85" s="3"/>
    </row>
    <row r="86" spans="1:59" ht="17.25" customHeight="1" x14ac:dyDescent="0.2">
      <c r="A86" s="4">
        <v>22</v>
      </c>
      <c r="B86" s="4" t="s">
        <v>146</v>
      </c>
      <c r="C86" s="4" t="s">
        <v>582</v>
      </c>
      <c r="D86" s="4" t="s">
        <v>210</v>
      </c>
      <c r="F86" s="12"/>
      <c r="G86" s="12" t="e">
        <f t="shared" si="26"/>
        <v>#DIV/0!</v>
      </c>
      <c r="V86" s="4">
        <v>2</v>
      </c>
      <c r="W86" s="4" t="s">
        <v>67</v>
      </c>
      <c r="Y86" s="4" t="s">
        <v>15</v>
      </c>
      <c r="Z86" s="4">
        <v>2</v>
      </c>
      <c r="AA86" s="4" t="s">
        <v>138</v>
      </c>
      <c r="AB86" s="4">
        <v>1</v>
      </c>
      <c r="AC86" s="4" t="s">
        <v>136</v>
      </c>
      <c r="AD86" s="6" t="s">
        <v>141</v>
      </c>
      <c r="AE86" s="12" t="s">
        <v>820</v>
      </c>
      <c r="AF86" s="12"/>
      <c r="AG86" s="6"/>
      <c r="AI86" s="4">
        <v>3.4</v>
      </c>
      <c r="AJ86" s="4">
        <v>4.5</v>
      </c>
      <c r="AM86" s="10" t="s">
        <v>139</v>
      </c>
      <c r="AR86" s="7">
        <v>0.2</v>
      </c>
      <c r="AS86" s="7">
        <v>0.2</v>
      </c>
      <c r="AV86" s="4">
        <v>126</v>
      </c>
      <c r="AY86" s="4">
        <v>108</v>
      </c>
      <c r="AZ86" s="4">
        <v>106</v>
      </c>
      <c r="BA86" s="4">
        <v>105</v>
      </c>
      <c r="BB86" s="4">
        <v>103</v>
      </c>
      <c r="BD86" s="4">
        <f t="shared" si="39"/>
        <v>0.97222222222222221</v>
      </c>
      <c r="BE86" s="4">
        <f t="shared" si="40"/>
        <v>0.06</v>
      </c>
    </row>
    <row r="87" spans="1:59" s="1" customFormat="1" ht="19.5" customHeight="1" x14ac:dyDescent="0.2">
      <c r="A87" s="1">
        <v>22</v>
      </c>
      <c r="B87" s="1" t="s">
        <v>149</v>
      </c>
      <c r="C87" s="1" t="s">
        <v>582</v>
      </c>
      <c r="D87" s="1" t="s">
        <v>210</v>
      </c>
      <c r="F87" s="13"/>
      <c r="G87" s="12" t="e">
        <f t="shared" si="26"/>
        <v>#DIV/0!</v>
      </c>
      <c r="R87" s="3"/>
      <c r="V87" s="1">
        <v>2</v>
      </c>
      <c r="W87" s="1" t="s">
        <v>67</v>
      </c>
      <c r="Y87" s="1" t="s">
        <v>15</v>
      </c>
      <c r="Z87" s="1">
        <v>2</v>
      </c>
      <c r="AA87" s="1" t="s">
        <v>138</v>
      </c>
      <c r="AB87" s="1">
        <v>1</v>
      </c>
      <c r="AC87" s="1" t="s">
        <v>136</v>
      </c>
      <c r="AD87" s="5" t="s">
        <v>141</v>
      </c>
      <c r="AE87" s="13" t="s">
        <v>820</v>
      </c>
      <c r="AF87" s="13"/>
      <c r="AG87" s="5"/>
      <c r="AI87" s="1">
        <v>3.4</v>
      </c>
      <c r="AJ87" s="1">
        <v>4.5</v>
      </c>
      <c r="AM87" s="2" t="s">
        <v>139</v>
      </c>
      <c r="AN87" s="3"/>
      <c r="AP87" s="15"/>
      <c r="AR87" s="3">
        <v>0.2</v>
      </c>
      <c r="AS87" s="3">
        <v>0.2</v>
      </c>
      <c r="AT87" s="3"/>
      <c r="AU87" s="3"/>
      <c r="AV87" s="1">
        <v>126</v>
      </c>
      <c r="AW87" s="3"/>
      <c r="AX87" s="3"/>
      <c r="AY87" s="1">
        <v>110</v>
      </c>
      <c r="AZ87" s="1">
        <v>106.5</v>
      </c>
      <c r="BA87" s="1">
        <v>105</v>
      </c>
      <c r="BB87" s="1">
        <v>103</v>
      </c>
      <c r="BD87" s="1">
        <f t="shared" si="39"/>
        <v>0.95454545454545459</v>
      </c>
      <c r="BE87" s="1">
        <f t="shared" si="40"/>
        <v>0.1</v>
      </c>
      <c r="BG87" s="3"/>
    </row>
    <row r="88" spans="1:59" ht="17.25" customHeight="1" x14ac:dyDescent="0.2">
      <c r="A88" s="4">
        <v>22</v>
      </c>
      <c r="B88" s="4" t="s">
        <v>150</v>
      </c>
      <c r="C88" s="4" t="s">
        <v>582</v>
      </c>
      <c r="D88" s="4" t="s">
        <v>210</v>
      </c>
      <c r="F88" s="12"/>
      <c r="G88" s="12" t="e">
        <f t="shared" si="26"/>
        <v>#DIV/0!</v>
      </c>
      <c r="V88" s="4">
        <v>2</v>
      </c>
      <c r="W88" s="4" t="s">
        <v>67</v>
      </c>
      <c r="Y88" s="4" t="s">
        <v>15</v>
      </c>
      <c r="Z88" s="4">
        <v>2</v>
      </c>
      <c r="AA88" s="4" t="s">
        <v>138</v>
      </c>
      <c r="AB88" s="4">
        <v>1</v>
      </c>
      <c r="AC88" s="4" t="s">
        <v>136</v>
      </c>
      <c r="AD88" s="6" t="s">
        <v>141</v>
      </c>
      <c r="AE88" s="12" t="s">
        <v>820</v>
      </c>
      <c r="AF88" s="12"/>
      <c r="AG88" s="6"/>
      <c r="AI88" s="4">
        <v>3.4</v>
      </c>
      <c r="AJ88" s="4">
        <v>4.5</v>
      </c>
      <c r="AM88" s="10" t="s">
        <v>139</v>
      </c>
      <c r="AR88" s="7">
        <v>0.2</v>
      </c>
      <c r="AS88" s="7">
        <v>0.2</v>
      </c>
      <c r="AV88" s="4">
        <v>126</v>
      </c>
      <c r="AY88" s="4">
        <v>115</v>
      </c>
      <c r="AZ88" s="4">
        <v>110</v>
      </c>
      <c r="BA88" s="4">
        <v>109</v>
      </c>
      <c r="BB88" s="4">
        <v>107</v>
      </c>
      <c r="BD88" s="4">
        <f t="shared" ref="BD88" si="41">BA88/AY88</f>
        <v>0.94782608695652171</v>
      </c>
      <c r="BE88" s="4">
        <f t="shared" ref="BE88" si="42">(AY88-BA88)/50</f>
        <v>0.12</v>
      </c>
    </row>
    <row r="89" spans="1:59" s="1" customFormat="1" ht="19.5" customHeight="1" x14ac:dyDescent="0.2">
      <c r="A89" s="1">
        <v>22</v>
      </c>
      <c r="B89" s="1" t="s">
        <v>151</v>
      </c>
      <c r="C89" s="1" t="s">
        <v>582</v>
      </c>
      <c r="D89" s="1" t="s">
        <v>210</v>
      </c>
      <c r="F89" s="13"/>
      <c r="G89" s="12" t="e">
        <f t="shared" si="26"/>
        <v>#DIV/0!</v>
      </c>
      <c r="R89" s="3"/>
      <c r="V89" s="1">
        <v>2</v>
      </c>
      <c r="W89" s="1" t="s">
        <v>67</v>
      </c>
      <c r="Y89" s="1" t="s">
        <v>15</v>
      </c>
      <c r="Z89" s="1">
        <v>2</v>
      </c>
      <c r="AA89" s="1" t="s">
        <v>138</v>
      </c>
      <c r="AB89" s="1">
        <v>1</v>
      </c>
      <c r="AC89" s="1" t="s">
        <v>136</v>
      </c>
      <c r="AD89" s="5" t="s">
        <v>141</v>
      </c>
      <c r="AE89" s="13" t="s">
        <v>820</v>
      </c>
      <c r="AF89" s="13"/>
      <c r="AG89" s="5"/>
      <c r="AI89" s="1">
        <v>3.4</v>
      </c>
      <c r="AJ89" s="1">
        <v>4.5</v>
      </c>
      <c r="AM89" s="2" t="s">
        <v>139</v>
      </c>
      <c r="AN89" s="3"/>
      <c r="AP89" s="15"/>
      <c r="AR89" s="3">
        <v>0.2</v>
      </c>
      <c r="AS89" s="3">
        <v>0.2</v>
      </c>
      <c r="AT89" s="3"/>
      <c r="AU89" s="3"/>
      <c r="AV89" s="1">
        <v>126</v>
      </c>
      <c r="AW89" s="3"/>
      <c r="AX89" s="3"/>
      <c r="AY89" s="1">
        <v>121.5</v>
      </c>
      <c r="AZ89" s="1">
        <v>114</v>
      </c>
      <c r="BA89" s="1">
        <v>112</v>
      </c>
      <c r="BB89" s="1">
        <v>110.5</v>
      </c>
      <c r="BD89" s="1">
        <f t="shared" ref="BD89:BD91" si="43">BA89/AY89</f>
        <v>0.92181069958847739</v>
      </c>
      <c r="BE89" s="1">
        <f t="shared" ref="BE89:BE91" si="44">(AY89-BA89)/50</f>
        <v>0.19</v>
      </c>
      <c r="BG89" s="3"/>
    </row>
    <row r="90" spans="1:59" ht="17.25" customHeight="1" x14ac:dyDescent="0.2">
      <c r="A90" s="4">
        <v>22</v>
      </c>
      <c r="B90" s="4" t="s">
        <v>152</v>
      </c>
      <c r="C90" s="4" t="s">
        <v>582</v>
      </c>
      <c r="D90" s="4" t="s">
        <v>210</v>
      </c>
      <c r="F90" s="12"/>
      <c r="G90" s="12" t="e">
        <f t="shared" si="26"/>
        <v>#DIV/0!</v>
      </c>
      <c r="V90" s="4">
        <v>2</v>
      </c>
      <c r="W90" s="4" t="s">
        <v>67</v>
      </c>
      <c r="Y90" s="4" t="s">
        <v>15</v>
      </c>
      <c r="Z90" s="4">
        <v>2</v>
      </c>
      <c r="AA90" s="4" t="s">
        <v>138</v>
      </c>
      <c r="AB90" s="4">
        <v>1</v>
      </c>
      <c r="AC90" s="4" t="s">
        <v>136</v>
      </c>
      <c r="AD90" s="6" t="s">
        <v>141</v>
      </c>
      <c r="AE90" s="12" t="s">
        <v>820</v>
      </c>
      <c r="AF90" s="12"/>
      <c r="AG90" s="6"/>
      <c r="AI90" s="4">
        <v>3.4</v>
      </c>
      <c r="AJ90" s="4">
        <v>4.5</v>
      </c>
      <c r="AM90" s="10" t="s">
        <v>139</v>
      </c>
      <c r="AR90" s="7">
        <v>0.2</v>
      </c>
      <c r="AS90" s="7">
        <v>0.2</v>
      </c>
      <c r="AV90" s="4">
        <v>126</v>
      </c>
      <c r="AY90" s="4">
        <v>121</v>
      </c>
      <c r="AZ90" s="4">
        <v>111.5</v>
      </c>
      <c r="BA90" s="4">
        <v>109</v>
      </c>
      <c r="BB90" s="4">
        <v>105</v>
      </c>
      <c r="BD90" s="4">
        <f t="shared" si="43"/>
        <v>0.90082644628099173</v>
      </c>
      <c r="BE90" s="4">
        <f t="shared" si="44"/>
        <v>0.24</v>
      </c>
    </row>
    <row r="91" spans="1:59" s="1" customFormat="1" ht="19.5" customHeight="1" x14ac:dyDescent="0.2">
      <c r="A91" s="1">
        <v>22</v>
      </c>
      <c r="B91" s="1" t="s">
        <v>147</v>
      </c>
      <c r="C91" s="1" t="s">
        <v>582</v>
      </c>
      <c r="D91" s="1" t="s">
        <v>210</v>
      </c>
      <c r="F91" s="13"/>
      <c r="G91" s="12" t="e">
        <f t="shared" si="26"/>
        <v>#DIV/0!</v>
      </c>
      <c r="R91" s="3"/>
      <c r="V91" s="1">
        <v>2</v>
      </c>
      <c r="W91" s="1" t="s">
        <v>67</v>
      </c>
      <c r="Y91" s="1" t="s">
        <v>15</v>
      </c>
      <c r="Z91" s="1">
        <v>2</v>
      </c>
      <c r="AA91" s="1" t="s">
        <v>138</v>
      </c>
      <c r="AB91" s="1">
        <v>1</v>
      </c>
      <c r="AC91" s="1" t="s">
        <v>136</v>
      </c>
      <c r="AD91" s="5" t="s">
        <v>141</v>
      </c>
      <c r="AE91" s="13" t="s">
        <v>820</v>
      </c>
      <c r="AF91" s="13"/>
      <c r="AG91" s="5"/>
      <c r="AI91" s="1">
        <v>3.4</v>
      </c>
      <c r="AJ91" s="1">
        <v>4.5</v>
      </c>
      <c r="AM91" s="2" t="s">
        <v>139</v>
      </c>
      <c r="AN91" s="3"/>
      <c r="AP91" s="15"/>
      <c r="AR91" s="3">
        <v>0.2</v>
      </c>
      <c r="AS91" s="3">
        <v>0.2</v>
      </c>
      <c r="AT91" s="3"/>
      <c r="AU91" s="3"/>
      <c r="AV91" s="1">
        <v>126</v>
      </c>
      <c r="AW91" s="3"/>
      <c r="AX91" s="3"/>
      <c r="AY91" s="1">
        <v>110</v>
      </c>
      <c r="AZ91" s="1">
        <v>105</v>
      </c>
      <c r="BA91" s="1">
        <v>103</v>
      </c>
      <c r="BB91" s="1">
        <v>100.5</v>
      </c>
      <c r="BD91" s="1">
        <f t="shared" si="43"/>
        <v>0.9363636363636364</v>
      </c>
      <c r="BE91" s="1">
        <f t="shared" si="44"/>
        <v>0.14000000000000001</v>
      </c>
      <c r="BG91" s="3"/>
    </row>
    <row r="92" spans="1:59" ht="17.25" customHeight="1" x14ac:dyDescent="0.2">
      <c r="A92" s="4">
        <v>22</v>
      </c>
      <c r="B92" s="4" t="s">
        <v>153</v>
      </c>
      <c r="C92" s="4" t="s">
        <v>582</v>
      </c>
      <c r="D92" s="4" t="s">
        <v>210</v>
      </c>
      <c r="F92" s="12"/>
      <c r="G92" s="12" t="e">
        <f t="shared" si="26"/>
        <v>#DIV/0!</v>
      </c>
      <c r="V92" s="4">
        <v>2</v>
      </c>
      <c r="W92" s="4" t="s">
        <v>67</v>
      </c>
      <c r="Y92" s="4" t="s">
        <v>15</v>
      </c>
      <c r="Z92" s="4">
        <v>2</v>
      </c>
      <c r="AA92" s="4" t="s">
        <v>138</v>
      </c>
      <c r="AB92" s="4">
        <v>1</v>
      </c>
      <c r="AC92" s="4" t="s">
        <v>136</v>
      </c>
      <c r="AD92" s="6" t="s">
        <v>141</v>
      </c>
      <c r="AE92" s="12" t="s">
        <v>820</v>
      </c>
      <c r="AF92" s="12"/>
      <c r="AG92" s="6"/>
      <c r="AI92" s="4">
        <v>3.4</v>
      </c>
      <c r="AJ92" s="4">
        <v>4.5</v>
      </c>
      <c r="AM92" s="10" t="s">
        <v>139</v>
      </c>
      <c r="AR92" s="7">
        <v>0.2</v>
      </c>
      <c r="AS92" s="7">
        <v>0.2</v>
      </c>
      <c r="AV92" s="4">
        <v>126</v>
      </c>
      <c r="AY92" s="4">
        <v>117</v>
      </c>
      <c r="AZ92" s="4">
        <v>103</v>
      </c>
      <c r="BA92" s="4">
        <v>100</v>
      </c>
      <c r="BB92" s="4">
        <v>96</v>
      </c>
      <c r="BD92" s="4">
        <f t="shared" ref="BD92:BD93" si="45">BA92/AY92</f>
        <v>0.85470085470085466</v>
      </c>
      <c r="BE92" s="4">
        <f t="shared" ref="BE92:BE93" si="46">(AY92-BA92)/50</f>
        <v>0.34</v>
      </c>
    </row>
    <row r="93" spans="1:59" s="1" customFormat="1" ht="19.5" customHeight="1" x14ac:dyDescent="0.2">
      <c r="A93" s="1">
        <v>70</v>
      </c>
      <c r="B93" s="1" t="s">
        <v>150</v>
      </c>
      <c r="C93" s="1" t="s">
        <v>582</v>
      </c>
      <c r="D93" s="1" t="s">
        <v>210</v>
      </c>
      <c r="F93" s="13"/>
      <c r="G93" s="12" t="e">
        <f t="shared" si="26"/>
        <v>#DIV/0!</v>
      </c>
      <c r="R93" s="3"/>
      <c r="V93" s="1">
        <v>2</v>
      </c>
      <c r="W93" s="1" t="s">
        <v>67</v>
      </c>
      <c r="Y93" s="1" t="s">
        <v>15</v>
      </c>
      <c r="Z93" s="1">
        <v>2</v>
      </c>
      <c r="AA93" s="1" t="s">
        <v>138</v>
      </c>
      <c r="AB93" s="1">
        <v>1</v>
      </c>
      <c r="AC93" s="1" t="s">
        <v>136</v>
      </c>
      <c r="AD93" s="5" t="s">
        <v>141</v>
      </c>
      <c r="AE93" s="13" t="s">
        <v>820</v>
      </c>
      <c r="AF93" s="13"/>
      <c r="AG93" s="5"/>
      <c r="AI93" s="1">
        <v>3.4</v>
      </c>
      <c r="AJ93" s="1">
        <v>4.5</v>
      </c>
      <c r="AM93" s="2" t="s">
        <v>139</v>
      </c>
      <c r="AN93" s="3"/>
      <c r="AP93" s="15"/>
      <c r="AR93" s="3">
        <v>0.2</v>
      </c>
      <c r="AS93" s="3">
        <v>0.2</v>
      </c>
      <c r="AT93" s="3"/>
      <c r="AU93" s="3"/>
      <c r="AV93" s="1">
        <v>126</v>
      </c>
      <c r="AW93" s="3"/>
      <c r="AX93" s="3"/>
      <c r="AY93" s="1">
        <v>118</v>
      </c>
      <c r="AZ93" s="1">
        <v>109.74000000000001</v>
      </c>
      <c r="BA93" s="1">
        <v>106.2</v>
      </c>
      <c r="BB93" s="1">
        <v>101.48</v>
      </c>
      <c r="BD93" s="1">
        <f t="shared" si="45"/>
        <v>0.9</v>
      </c>
      <c r="BE93" s="1">
        <f t="shared" si="46"/>
        <v>0.23599999999999993</v>
      </c>
      <c r="BG93" s="3"/>
    </row>
    <row r="94" spans="1:59" ht="17.25" customHeight="1" x14ac:dyDescent="0.2">
      <c r="A94" s="4">
        <v>30</v>
      </c>
      <c r="B94" s="4" t="s">
        <v>158</v>
      </c>
      <c r="D94" s="4" t="s">
        <v>210</v>
      </c>
      <c r="F94" s="12"/>
      <c r="G94" s="12">
        <f t="shared" si="26"/>
        <v>3.2974999999999999</v>
      </c>
      <c r="H94" s="4">
        <v>2.83</v>
      </c>
      <c r="I94" s="4">
        <v>3.84</v>
      </c>
      <c r="L94" s="4">
        <v>2.74</v>
      </c>
      <c r="M94" s="4">
        <v>3.78</v>
      </c>
      <c r="V94" s="4">
        <v>2</v>
      </c>
      <c r="W94" s="4" t="s">
        <v>156</v>
      </c>
      <c r="Y94" s="4" t="s">
        <v>15</v>
      </c>
      <c r="Z94" s="4">
        <v>2</v>
      </c>
      <c r="AA94" s="4" t="s">
        <v>55</v>
      </c>
      <c r="AB94" s="4">
        <v>1</v>
      </c>
      <c r="AC94" s="4" t="s">
        <v>154</v>
      </c>
      <c r="AD94" s="6" t="s">
        <v>548</v>
      </c>
      <c r="AE94" s="12" t="s">
        <v>821</v>
      </c>
      <c r="AF94" s="12"/>
      <c r="AG94" s="6"/>
      <c r="AI94" s="4">
        <v>2.5</v>
      </c>
      <c r="AJ94" s="4">
        <v>4.5999999999999996</v>
      </c>
      <c r="AL94" s="4" t="s">
        <v>31</v>
      </c>
      <c r="AM94" s="10" t="s">
        <v>155</v>
      </c>
      <c r="AR94" s="7">
        <v>0.05</v>
      </c>
      <c r="AS94" s="7">
        <v>0.05</v>
      </c>
      <c r="AT94" s="7">
        <f>2/3*7+58.7*1/3+2/3*54.9+32</f>
        <v>92.833333333333329</v>
      </c>
      <c r="AU94" s="7">
        <f>2/3*96485.3/3600/AT94</f>
        <v>0.19247017753840018</v>
      </c>
      <c r="AV94" s="4">
        <v>192</v>
      </c>
      <c r="AY94" s="4">
        <v>175</v>
      </c>
      <c r="AZ94" s="4">
        <v>170</v>
      </c>
      <c r="BA94" s="4">
        <v>167</v>
      </c>
      <c r="BB94" s="4">
        <v>166</v>
      </c>
      <c r="BD94" s="4">
        <f>BA94/AY94</f>
        <v>0.95428571428571429</v>
      </c>
      <c r="BE94" s="4">
        <f>(169.5-BA94)/50</f>
        <v>0.05</v>
      </c>
      <c r="BG94" s="7">
        <f>170/175</f>
        <v>0.97142857142857142</v>
      </c>
    </row>
    <row r="95" spans="1:59" s="1" customFormat="1" ht="19.5" customHeight="1" x14ac:dyDescent="0.2">
      <c r="A95" s="1">
        <v>55</v>
      </c>
      <c r="B95" s="1" t="s">
        <v>158</v>
      </c>
      <c r="D95" s="1" t="s">
        <v>210</v>
      </c>
      <c r="F95" s="13"/>
      <c r="G95" s="12" t="e">
        <f t="shared" si="26"/>
        <v>#DIV/0!</v>
      </c>
      <c r="R95" s="3"/>
      <c r="V95" s="1">
        <v>2</v>
      </c>
      <c r="W95" s="1" t="s">
        <v>156</v>
      </c>
      <c r="Y95" s="1" t="s">
        <v>15</v>
      </c>
      <c r="Z95" s="1">
        <v>2</v>
      </c>
      <c r="AA95" s="1" t="s">
        <v>55</v>
      </c>
      <c r="AB95" s="1">
        <v>1</v>
      </c>
      <c r="AC95" s="1" t="s">
        <v>154</v>
      </c>
      <c r="AD95" s="5" t="s">
        <v>548</v>
      </c>
      <c r="AE95" s="13" t="s">
        <v>821</v>
      </c>
      <c r="AF95" s="13"/>
      <c r="AG95" s="5"/>
      <c r="AI95" s="1">
        <v>2.5</v>
      </c>
      <c r="AJ95" s="1">
        <v>4.5999999999999996</v>
      </c>
      <c r="AL95" s="1" t="s">
        <v>31</v>
      </c>
      <c r="AM95" s="2" t="s">
        <v>155</v>
      </c>
      <c r="AN95" s="3"/>
      <c r="AP95" s="15"/>
      <c r="AR95" s="3">
        <v>0.1</v>
      </c>
      <c r="AS95" s="3">
        <v>0.1</v>
      </c>
      <c r="AT95" s="3">
        <f t="shared" ref="AT95:AT96" si="47">2/3*7+58.7*1/3+2/3*54.9+32</f>
        <v>92.833333333333329</v>
      </c>
      <c r="AU95" s="3">
        <f t="shared" ref="AU95:AU96" si="48">2/3*96485.3/3600/AT95</f>
        <v>0.19247017753840018</v>
      </c>
      <c r="AV95" s="1">
        <v>192</v>
      </c>
      <c r="AW95" s="3"/>
      <c r="AX95" s="3"/>
      <c r="AY95" s="1">
        <v>186</v>
      </c>
      <c r="AZ95" s="1">
        <v>193</v>
      </c>
      <c r="BA95" s="1">
        <v>187</v>
      </c>
      <c r="BB95" s="1">
        <v>174</v>
      </c>
      <c r="BD95" s="1">
        <f>BA95/AY95</f>
        <v>1.0053763440860215</v>
      </c>
      <c r="BE95" s="1">
        <f>(200-BA95)/50</f>
        <v>0.26</v>
      </c>
      <c r="BG95" s="3"/>
    </row>
    <row r="96" spans="1:59" ht="17.25" customHeight="1" x14ac:dyDescent="0.2">
      <c r="A96" s="4">
        <v>55</v>
      </c>
      <c r="B96" s="4" t="s">
        <v>158</v>
      </c>
      <c r="D96" s="4" t="s">
        <v>210</v>
      </c>
      <c r="F96" s="12"/>
      <c r="G96" s="12" t="e">
        <f t="shared" si="26"/>
        <v>#DIV/0!</v>
      </c>
      <c r="V96" s="4">
        <v>2</v>
      </c>
      <c r="W96" s="4" t="s">
        <v>157</v>
      </c>
      <c r="Y96" s="4" t="s">
        <v>15</v>
      </c>
      <c r="Z96" s="4">
        <v>2</v>
      </c>
      <c r="AA96" s="4" t="s">
        <v>55</v>
      </c>
      <c r="AB96" s="4">
        <v>1</v>
      </c>
      <c r="AC96" s="4" t="s">
        <v>154</v>
      </c>
      <c r="AD96" s="6" t="s">
        <v>548</v>
      </c>
      <c r="AE96" s="12" t="s">
        <v>821</v>
      </c>
      <c r="AF96" s="12"/>
      <c r="AG96" s="6"/>
      <c r="AI96" s="4">
        <v>2.5</v>
      </c>
      <c r="AJ96" s="4">
        <v>4.3</v>
      </c>
      <c r="AL96" s="4" t="s">
        <v>31</v>
      </c>
      <c r="AM96" s="10" t="s">
        <v>155</v>
      </c>
      <c r="AR96" s="7">
        <v>0.1</v>
      </c>
      <c r="AS96" s="7">
        <v>0.1</v>
      </c>
      <c r="AT96" s="7">
        <f t="shared" si="47"/>
        <v>92.833333333333329</v>
      </c>
      <c r="AU96" s="7">
        <f t="shared" si="48"/>
        <v>0.19247017753840018</v>
      </c>
      <c r="AV96" s="4">
        <v>192</v>
      </c>
      <c r="AY96" s="4">
        <v>164</v>
      </c>
      <c r="AZ96" s="4">
        <v>155</v>
      </c>
      <c r="BA96" s="4">
        <v>152</v>
      </c>
      <c r="BB96" s="4">
        <v>142</v>
      </c>
      <c r="BD96" s="4">
        <f>BA96/AY96</f>
        <v>0.92682926829268297</v>
      </c>
      <c r="BE96" s="4">
        <f>(160-BA96)/50</f>
        <v>0.16</v>
      </c>
    </row>
    <row r="97" spans="1:59" s="1" customFormat="1" ht="19.5" customHeight="1" x14ac:dyDescent="0.2">
      <c r="A97" s="1" t="s">
        <v>167</v>
      </c>
      <c r="B97" s="1" t="s">
        <v>659</v>
      </c>
      <c r="C97" s="1" t="s">
        <v>578</v>
      </c>
      <c r="D97" s="1" t="s">
        <v>210</v>
      </c>
      <c r="F97" s="13"/>
      <c r="G97" s="12" t="e">
        <f t="shared" si="26"/>
        <v>#DIV/0!</v>
      </c>
      <c r="R97" s="3"/>
      <c r="V97" s="1">
        <v>2</v>
      </c>
      <c r="W97" s="1" t="s">
        <v>160</v>
      </c>
      <c r="Y97" s="1" t="s">
        <v>15</v>
      </c>
      <c r="Z97" s="1">
        <v>2</v>
      </c>
      <c r="AA97" s="1" t="s">
        <v>161</v>
      </c>
      <c r="AB97" s="1">
        <v>1</v>
      </c>
      <c r="AC97" s="1" t="s">
        <v>159</v>
      </c>
      <c r="AD97" s="5" t="s">
        <v>549</v>
      </c>
      <c r="AE97" s="13" t="s">
        <v>821</v>
      </c>
      <c r="AF97" s="13"/>
      <c r="AG97" s="5"/>
      <c r="AI97" s="1">
        <v>2.4</v>
      </c>
      <c r="AJ97" s="1">
        <v>3.5</v>
      </c>
      <c r="AL97" s="1" t="s">
        <v>31</v>
      </c>
      <c r="AM97" s="2"/>
      <c r="AN97" s="3"/>
      <c r="AP97" s="15"/>
      <c r="AR97" s="3"/>
      <c r="AS97" s="3">
        <f t="shared" ref="AS97:AS101" si="49">AW97/AV97</f>
        <v>0.02</v>
      </c>
      <c r="AT97" s="3">
        <f>2.95*1.09*54.9+52*0.9+4.11*16</f>
        <v>289.09095000000002</v>
      </c>
      <c r="AU97" s="3">
        <f>2*96485.3/3600/AT97</f>
        <v>0.18541896397809909</v>
      </c>
      <c r="AV97" s="1">
        <v>180</v>
      </c>
      <c r="AW97" s="3">
        <v>3.6</v>
      </c>
      <c r="AX97" s="3">
        <v>3.6</v>
      </c>
      <c r="AY97" s="1">
        <v>221</v>
      </c>
      <c r="AZ97" s="1">
        <v>214</v>
      </c>
      <c r="BA97" s="1">
        <v>218</v>
      </c>
      <c r="BD97" s="1">
        <f t="shared" ref="BD97" si="50">BA97/AY97</f>
        <v>0.98642533936651589</v>
      </c>
      <c r="BE97" s="1">
        <f t="shared" ref="BE97:BE98" si="51">(AY97-BA97)/50</f>
        <v>0.06</v>
      </c>
      <c r="BG97" s="3"/>
    </row>
    <row r="98" spans="1:59" ht="17.25" customHeight="1" x14ac:dyDescent="0.2">
      <c r="A98" s="4" t="s">
        <v>167</v>
      </c>
      <c r="B98" s="4" t="s">
        <v>659</v>
      </c>
      <c r="C98" s="4" t="s">
        <v>578</v>
      </c>
      <c r="D98" s="4" t="s">
        <v>210</v>
      </c>
      <c r="F98" s="12"/>
      <c r="G98" s="12" t="e">
        <f t="shared" si="26"/>
        <v>#DIV/0!</v>
      </c>
      <c r="V98" s="4">
        <v>2</v>
      </c>
      <c r="W98" s="4" t="s">
        <v>160</v>
      </c>
      <c r="Y98" s="4" t="s">
        <v>15</v>
      </c>
      <c r="Z98" s="4">
        <v>2</v>
      </c>
      <c r="AA98" s="4" t="s">
        <v>161</v>
      </c>
      <c r="AB98" s="4">
        <v>1</v>
      </c>
      <c r="AC98" s="4" t="s">
        <v>159</v>
      </c>
      <c r="AD98" s="6" t="s">
        <v>549</v>
      </c>
      <c r="AE98" s="12" t="s">
        <v>821</v>
      </c>
      <c r="AF98" s="12"/>
      <c r="AG98" s="6"/>
      <c r="AI98" s="4">
        <v>2.4</v>
      </c>
      <c r="AJ98" s="4">
        <v>4.5</v>
      </c>
      <c r="AL98" s="4" t="s">
        <v>31</v>
      </c>
      <c r="AM98" s="10"/>
      <c r="AS98" s="7">
        <f t="shared" si="49"/>
        <v>0.08</v>
      </c>
      <c r="AV98" s="4">
        <v>180</v>
      </c>
      <c r="AW98" s="7">
        <v>14.4</v>
      </c>
      <c r="AX98" s="7">
        <v>14.4</v>
      </c>
      <c r="AY98" s="4">
        <v>129</v>
      </c>
      <c r="AZ98" s="4">
        <v>161</v>
      </c>
      <c r="BA98" s="4">
        <v>161</v>
      </c>
      <c r="BD98" s="4">
        <f>BA98/AY98</f>
        <v>1.248062015503876</v>
      </c>
      <c r="BE98" s="4">
        <f t="shared" si="51"/>
        <v>-0.64</v>
      </c>
    </row>
    <row r="99" spans="1:59" s="1" customFormat="1" ht="19.5" customHeight="1" x14ac:dyDescent="0.2">
      <c r="A99" s="1" t="s">
        <v>167</v>
      </c>
      <c r="B99" s="1" t="s">
        <v>659</v>
      </c>
      <c r="C99" s="1" t="s">
        <v>578</v>
      </c>
      <c r="D99" s="1" t="s">
        <v>210</v>
      </c>
      <c r="F99" s="13"/>
      <c r="G99" s="12" t="e">
        <f t="shared" si="26"/>
        <v>#DIV/0!</v>
      </c>
      <c r="R99" s="3"/>
      <c r="V99" s="1">
        <v>2</v>
      </c>
      <c r="W99" s="1" t="s">
        <v>160</v>
      </c>
      <c r="Y99" s="1" t="s">
        <v>15</v>
      </c>
      <c r="Z99" s="1">
        <v>2</v>
      </c>
      <c r="AA99" s="1" t="s">
        <v>161</v>
      </c>
      <c r="AB99" s="1">
        <v>1</v>
      </c>
      <c r="AC99" s="1" t="s">
        <v>159</v>
      </c>
      <c r="AD99" s="5" t="s">
        <v>549</v>
      </c>
      <c r="AE99" s="13" t="s">
        <v>821</v>
      </c>
      <c r="AF99" s="13"/>
      <c r="AG99" s="5"/>
      <c r="AI99" s="1">
        <v>2.4</v>
      </c>
      <c r="AJ99" s="1">
        <v>4.5</v>
      </c>
      <c r="AL99" s="1" t="s">
        <v>31</v>
      </c>
      <c r="AM99" s="2"/>
      <c r="AN99" s="3"/>
      <c r="AP99" s="15"/>
      <c r="AR99" s="3"/>
      <c r="AS99" s="3">
        <f t="shared" si="49"/>
        <v>0.16</v>
      </c>
      <c r="AT99" s="3"/>
      <c r="AU99" s="3"/>
      <c r="AV99" s="1">
        <v>180</v>
      </c>
      <c r="AW99" s="3">
        <v>28.8</v>
      </c>
      <c r="AX99" s="3">
        <v>28.8</v>
      </c>
      <c r="AY99" s="1">
        <v>159</v>
      </c>
      <c r="AZ99" s="1">
        <v>142</v>
      </c>
      <c r="BA99" s="1">
        <v>138</v>
      </c>
      <c r="BD99" s="1">
        <f>BA99/AY99</f>
        <v>0.86792452830188682</v>
      </c>
      <c r="BE99" s="1">
        <f t="shared" ref="BE99" si="52">(AY99-BA99)/50</f>
        <v>0.42</v>
      </c>
      <c r="BG99" s="3"/>
    </row>
    <row r="100" spans="1:59" ht="17.25" customHeight="1" x14ac:dyDescent="0.2">
      <c r="A100" s="4" t="s">
        <v>167</v>
      </c>
      <c r="B100" s="4" t="s">
        <v>10</v>
      </c>
      <c r="C100" s="4" t="s">
        <v>212</v>
      </c>
      <c r="D100" s="4" t="s">
        <v>205</v>
      </c>
      <c r="F100" s="12"/>
      <c r="G100" s="12">
        <f t="shared" si="26"/>
        <v>3.8</v>
      </c>
      <c r="H100" s="4">
        <v>3.8</v>
      </c>
      <c r="L100" s="4">
        <v>3.8</v>
      </c>
      <c r="V100" s="4">
        <v>2</v>
      </c>
      <c r="W100" s="4" t="s">
        <v>164</v>
      </c>
      <c r="Y100" s="4" t="s">
        <v>15</v>
      </c>
      <c r="Z100" s="4">
        <v>2</v>
      </c>
      <c r="AA100" s="4" t="s">
        <v>99</v>
      </c>
      <c r="AB100" s="4">
        <v>1</v>
      </c>
      <c r="AC100" s="4" t="s">
        <v>162</v>
      </c>
      <c r="AD100" s="6" t="s">
        <v>163</v>
      </c>
      <c r="AE100" s="12" t="s">
        <v>821</v>
      </c>
      <c r="AF100" s="12"/>
      <c r="AG100" s="6"/>
      <c r="AI100" s="4">
        <v>2.5</v>
      </c>
      <c r="AJ100" s="4">
        <v>4.4000000000000004</v>
      </c>
      <c r="AL100" s="4" t="s">
        <v>165</v>
      </c>
      <c r="AM100" s="10"/>
      <c r="AS100" s="7">
        <f t="shared" si="49"/>
        <v>0.1079136690647482</v>
      </c>
      <c r="AT100" s="7">
        <f>7+58.7*1/3+1/3*54.9+1/3*58.9+32</f>
        <v>96.5</v>
      </c>
      <c r="AU100" s="7">
        <f>96485.3/3600/AT100</f>
        <v>0.27773546344271732</v>
      </c>
      <c r="AV100" s="4">
        <v>278</v>
      </c>
      <c r="AW100" s="7">
        <v>30</v>
      </c>
      <c r="AX100" s="7">
        <v>30</v>
      </c>
      <c r="AY100" s="4">
        <v>154</v>
      </c>
      <c r="AZ100" s="4">
        <v>146</v>
      </c>
    </row>
    <row r="101" spans="1:59" s="1" customFormat="1" ht="19.5" customHeight="1" x14ac:dyDescent="0.2">
      <c r="A101" s="1">
        <v>50</v>
      </c>
      <c r="B101" s="1" t="s">
        <v>10</v>
      </c>
      <c r="C101" s="1" t="s">
        <v>212</v>
      </c>
      <c r="D101" s="1" t="s">
        <v>205</v>
      </c>
      <c r="F101" s="13"/>
      <c r="G101" s="12" t="e">
        <f t="shared" si="26"/>
        <v>#DIV/0!</v>
      </c>
      <c r="R101" s="3"/>
      <c r="V101" s="1">
        <v>2</v>
      </c>
      <c r="W101" s="1" t="s">
        <v>164</v>
      </c>
      <c r="Y101" s="1" t="s">
        <v>15</v>
      </c>
      <c r="Z101" s="1">
        <v>2</v>
      </c>
      <c r="AA101" s="1" t="s">
        <v>99</v>
      </c>
      <c r="AB101" s="1">
        <v>1</v>
      </c>
      <c r="AC101" s="1" t="s">
        <v>162</v>
      </c>
      <c r="AD101" s="5" t="s">
        <v>163</v>
      </c>
      <c r="AE101" s="13" t="s">
        <v>821</v>
      </c>
      <c r="AF101" s="13"/>
      <c r="AG101" s="5"/>
      <c r="AI101" s="1">
        <v>2.5</v>
      </c>
      <c r="AJ101" s="1">
        <v>4.4000000000000004</v>
      </c>
      <c r="AL101" s="1" t="s">
        <v>165</v>
      </c>
      <c r="AM101" s="2"/>
      <c r="AN101" s="3"/>
      <c r="AP101" s="15"/>
      <c r="AR101" s="3"/>
      <c r="AS101" s="3">
        <f t="shared" si="49"/>
        <v>0.1079136690647482</v>
      </c>
      <c r="AT101" s="3">
        <f t="shared" ref="AT101:AT102" si="53">7+58.7*1/3+1/3*54.9+1/3*58.9+32</f>
        <v>96.5</v>
      </c>
      <c r="AU101" s="3">
        <f t="shared" ref="AU101:AU103" si="54">96485.3/3600/AT101</f>
        <v>0.27773546344271732</v>
      </c>
      <c r="AV101" s="1">
        <v>278</v>
      </c>
      <c r="AW101" s="3">
        <v>30</v>
      </c>
      <c r="AX101" s="3">
        <v>30</v>
      </c>
      <c r="AY101" s="1">
        <v>167</v>
      </c>
      <c r="AZ101" s="1">
        <v>153</v>
      </c>
      <c r="BG101" s="3"/>
    </row>
    <row r="102" spans="1:59" ht="17.25" customHeight="1" x14ac:dyDescent="0.2">
      <c r="A102" s="4" t="s">
        <v>167</v>
      </c>
      <c r="B102" s="4" t="s">
        <v>10</v>
      </c>
      <c r="C102" s="4" t="s">
        <v>211</v>
      </c>
      <c r="D102" s="4" t="s">
        <v>210</v>
      </c>
      <c r="F102" s="12">
        <v>3.75</v>
      </c>
      <c r="G102" s="12" t="e">
        <f t="shared" si="26"/>
        <v>#DIV/0!</v>
      </c>
      <c r="V102" s="4">
        <v>2</v>
      </c>
      <c r="W102" s="4" t="s">
        <v>164</v>
      </c>
      <c r="Y102" s="4" t="s">
        <v>15</v>
      </c>
      <c r="Z102" s="4">
        <v>2</v>
      </c>
      <c r="AA102" s="4" t="s">
        <v>99</v>
      </c>
      <c r="AB102" s="4">
        <v>1</v>
      </c>
      <c r="AC102" s="4" t="s">
        <v>162</v>
      </c>
      <c r="AD102" s="6" t="s">
        <v>163</v>
      </c>
      <c r="AE102" s="12" t="s">
        <v>821</v>
      </c>
      <c r="AF102" s="12">
        <v>3.75</v>
      </c>
      <c r="AG102" s="6"/>
      <c r="AI102" s="4">
        <v>2.5</v>
      </c>
      <c r="AJ102" s="4">
        <v>4.4000000000000004</v>
      </c>
      <c r="AL102" s="4" t="s">
        <v>165</v>
      </c>
      <c r="AM102" s="10"/>
      <c r="AS102" s="7">
        <f>AW102/AV102</f>
        <v>0.1079136690647482</v>
      </c>
      <c r="AT102" s="7">
        <f t="shared" si="53"/>
        <v>96.5</v>
      </c>
      <c r="AU102" s="7">
        <f t="shared" si="54"/>
        <v>0.27773546344271732</v>
      </c>
      <c r="AV102" s="4">
        <v>278</v>
      </c>
      <c r="AW102" s="7">
        <v>30</v>
      </c>
      <c r="AX102" s="7">
        <v>30</v>
      </c>
      <c r="AY102" s="4">
        <v>160</v>
      </c>
      <c r="AZ102" s="4">
        <v>152</v>
      </c>
      <c r="BG102" s="7">
        <f>160/250</f>
        <v>0.64</v>
      </c>
    </row>
    <row r="103" spans="1:59" s="1" customFormat="1" ht="19.5" customHeight="1" x14ac:dyDescent="0.2">
      <c r="A103" s="1" t="s">
        <v>167</v>
      </c>
      <c r="B103" s="1" t="s">
        <v>10</v>
      </c>
      <c r="F103" s="13">
        <v>3.8</v>
      </c>
      <c r="G103" s="12">
        <f t="shared" si="26"/>
        <v>3.4</v>
      </c>
      <c r="L103" s="1">
        <v>3.4</v>
      </c>
      <c r="P103" s="1" t="s">
        <v>600</v>
      </c>
      <c r="Q103" s="1">
        <f>142/155.6</f>
        <v>0.91259640102827766</v>
      </c>
      <c r="R103" s="3"/>
      <c r="V103" s="1">
        <v>2</v>
      </c>
      <c r="W103" s="1" t="s">
        <v>111</v>
      </c>
      <c r="Y103" s="1" t="s">
        <v>15</v>
      </c>
      <c r="Z103" s="1">
        <v>2</v>
      </c>
      <c r="AA103" s="1" t="s">
        <v>99</v>
      </c>
      <c r="AB103" s="1">
        <v>1</v>
      </c>
      <c r="AC103" s="1" t="s">
        <v>169</v>
      </c>
      <c r="AD103" s="5" t="s">
        <v>168</v>
      </c>
      <c r="AE103" s="13" t="s">
        <v>821</v>
      </c>
      <c r="AF103" s="13">
        <v>3.8</v>
      </c>
      <c r="AG103" s="5"/>
      <c r="AI103" s="1">
        <v>3</v>
      </c>
      <c r="AJ103" s="1">
        <v>4.3</v>
      </c>
      <c r="AL103" s="1" t="s">
        <v>118</v>
      </c>
      <c r="AM103" s="2"/>
      <c r="AN103" s="3"/>
      <c r="AP103" s="15"/>
      <c r="AR103" s="3">
        <v>0.2</v>
      </c>
      <c r="AS103" s="3">
        <v>0.2</v>
      </c>
      <c r="AT103" s="3">
        <f>7+58.7*1/3+1/3*54.9+1/3*58.9+32</f>
        <v>96.5</v>
      </c>
      <c r="AU103" s="3">
        <f t="shared" si="54"/>
        <v>0.27773546344271732</v>
      </c>
      <c r="AV103" s="1">
        <v>278</v>
      </c>
      <c r="AW103" s="3"/>
      <c r="AX103" s="3"/>
      <c r="AY103" s="1">
        <v>148</v>
      </c>
      <c r="AZ103" s="1">
        <v>142</v>
      </c>
      <c r="BA103" s="1">
        <v>137</v>
      </c>
      <c r="BD103" s="1">
        <f>BA103/AY103</f>
        <v>0.92567567567567566</v>
      </c>
      <c r="BE103" s="1">
        <f t="shared" ref="BE103" si="55">(AY103-BA103)/50</f>
        <v>0.22</v>
      </c>
      <c r="BG103" s="3"/>
    </row>
    <row r="104" spans="1:59" ht="17.25" customHeight="1" x14ac:dyDescent="0.2">
      <c r="A104" s="4" t="s">
        <v>167</v>
      </c>
      <c r="B104" s="4" t="s">
        <v>10</v>
      </c>
      <c r="F104" s="12"/>
      <c r="G104" s="12" t="e">
        <f t="shared" si="26"/>
        <v>#DIV/0!</v>
      </c>
      <c r="V104" s="4">
        <v>2</v>
      </c>
      <c r="W104" s="4" t="s">
        <v>111</v>
      </c>
      <c r="Y104" s="4" t="s">
        <v>15</v>
      </c>
      <c r="Z104" s="4">
        <v>2</v>
      </c>
      <c r="AA104" s="4" t="s">
        <v>99</v>
      </c>
      <c r="AB104" s="4">
        <v>1</v>
      </c>
      <c r="AC104" s="4" t="s">
        <v>169</v>
      </c>
      <c r="AD104" s="6" t="s">
        <v>168</v>
      </c>
      <c r="AE104" s="12" t="s">
        <v>821</v>
      </c>
      <c r="AF104" s="12"/>
      <c r="AG104" s="6"/>
      <c r="AI104" s="4">
        <v>3</v>
      </c>
      <c r="AJ104" s="4">
        <v>4.4000000000000004</v>
      </c>
      <c r="AL104" s="4" t="s">
        <v>118</v>
      </c>
      <c r="AM104" s="10"/>
      <c r="AR104" s="7">
        <v>0.2</v>
      </c>
      <c r="AS104" s="7">
        <v>0.2</v>
      </c>
      <c r="AV104" s="4">
        <v>278</v>
      </c>
      <c r="AY104" s="4">
        <v>159</v>
      </c>
      <c r="AZ104" s="4">
        <v>153</v>
      </c>
      <c r="BA104" s="4">
        <v>146</v>
      </c>
      <c r="BD104" s="4">
        <f>BA104/AY104</f>
        <v>0.91823899371069184</v>
      </c>
      <c r="BE104" s="4">
        <f t="shared" ref="BE104" si="56">(AY104-BA104)/50</f>
        <v>0.26</v>
      </c>
    </row>
    <row r="105" spans="1:59" s="1" customFormat="1" ht="19.5" customHeight="1" x14ac:dyDescent="0.2">
      <c r="A105" s="1" t="s">
        <v>167</v>
      </c>
      <c r="B105" s="1" t="s">
        <v>10</v>
      </c>
      <c r="F105" s="13"/>
      <c r="G105" s="12" t="e">
        <f t="shared" si="26"/>
        <v>#DIV/0!</v>
      </c>
      <c r="R105" s="3"/>
      <c r="V105" s="1">
        <v>2</v>
      </c>
      <c r="W105" s="1" t="s">
        <v>111</v>
      </c>
      <c r="Y105" s="1" t="s">
        <v>15</v>
      </c>
      <c r="Z105" s="1">
        <v>2</v>
      </c>
      <c r="AA105" s="1" t="s">
        <v>99</v>
      </c>
      <c r="AB105" s="1">
        <v>1</v>
      </c>
      <c r="AC105" s="1" t="s">
        <v>169</v>
      </c>
      <c r="AD105" s="5" t="s">
        <v>168</v>
      </c>
      <c r="AE105" s="13" t="s">
        <v>821</v>
      </c>
      <c r="AF105" s="13"/>
      <c r="AG105" s="5"/>
      <c r="AI105" s="1">
        <v>3</v>
      </c>
      <c r="AJ105" s="1">
        <v>4.5</v>
      </c>
      <c r="AL105" s="1" t="s">
        <v>118</v>
      </c>
      <c r="AM105" s="2"/>
      <c r="AN105" s="3"/>
      <c r="AP105" s="15"/>
      <c r="AR105" s="3">
        <v>0.2</v>
      </c>
      <c r="AS105" s="3">
        <v>0.2</v>
      </c>
      <c r="AT105" s="3"/>
      <c r="AU105" s="3"/>
      <c r="AV105" s="1">
        <v>278</v>
      </c>
      <c r="AW105" s="3"/>
      <c r="AX105" s="3"/>
      <c r="AY105" s="1">
        <v>171</v>
      </c>
      <c r="AZ105" s="1">
        <v>163</v>
      </c>
      <c r="BA105" s="1">
        <v>157</v>
      </c>
      <c r="BD105" s="1">
        <f>BA105/AY105</f>
        <v>0.91812865497076024</v>
      </c>
      <c r="BE105" s="1">
        <f t="shared" ref="BE105:BE107" si="57">(AY105-BA105)/50</f>
        <v>0.28000000000000003</v>
      </c>
      <c r="BG105" s="3"/>
    </row>
    <row r="106" spans="1:59" ht="17.25" customHeight="1" x14ac:dyDescent="0.2">
      <c r="A106" s="4" t="s">
        <v>167</v>
      </c>
      <c r="B106" s="4" t="s">
        <v>10</v>
      </c>
      <c r="F106" s="12">
        <v>3.9</v>
      </c>
      <c r="G106" s="12" t="e">
        <f t="shared" si="26"/>
        <v>#DIV/0!</v>
      </c>
      <c r="P106" s="4" t="s">
        <v>600</v>
      </c>
      <c r="Q106" s="4">
        <f>161/181.8</f>
        <v>0.8855885588558855</v>
      </c>
      <c r="V106" s="4">
        <v>2</v>
      </c>
      <c r="W106" s="4" t="s">
        <v>111</v>
      </c>
      <c r="Y106" s="4" t="s">
        <v>15</v>
      </c>
      <c r="Z106" s="4">
        <v>2</v>
      </c>
      <c r="AA106" s="4" t="s">
        <v>99</v>
      </c>
      <c r="AB106" s="4">
        <v>1</v>
      </c>
      <c r="AC106" s="4" t="s">
        <v>169</v>
      </c>
      <c r="AD106" s="6" t="s">
        <v>168</v>
      </c>
      <c r="AE106" s="12" t="s">
        <v>821</v>
      </c>
      <c r="AF106" s="12">
        <v>3.9</v>
      </c>
      <c r="AG106" s="6"/>
      <c r="AI106" s="4">
        <v>3</v>
      </c>
      <c r="AJ106" s="4">
        <v>4.5999999999999996</v>
      </c>
      <c r="AL106" s="4" t="s">
        <v>118</v>
      </c>
      <c r="AM106" s="10"/>
      <c r="AR106" s="7">
        <v>0.2</v>
      </c>
      <c r="AS106" s="7">
        <v>0.2</v>
      </c>
      <c r="AV106" s="4">
        <v>278</v>
      </c>
      <c r="AY106" s="4">
        <v>180</v>
      </c>
      <c r="AZ106" s="4">
        <v>168</v>
      </c>
      <c r="BA106" s="4">
        <v>160</v>
      </c>
      <c r="BD106" s="4">
        <f>BA106/AY106</f>
        <v>0.88888888888888884</v>
      </c>
      <c r="BE106" s="4">
        <f t="shared" si="57"/>
        <v>0.4</v>
      </c>
    </row>
    <row r="107" spans="1:59" s="1" customFormat="1" ht="19.5" customHeight="1" x14ac:dyDescent="0.2">
      <c r="A107" s="1" t="s">
        <v>167</v>
      </c>
      <c r="B107" s="1" t="s">
        <v>10</v>
      </c>
      <c r="F107" s="13"/>
      <c r="G107" s="12" t="e">
        <f t="shared" si="26"/>
        <v>#DIV/0!</v>
      </c>
      <c r="R107" s="3"/>
      <c r="V107" s="1">
        <v>2</v>
      </c>
      <c r="W107" s="1" t="s">
        <v>111</v>
      </c>
      <c r="Y107" s="1" t="s">
        <v>15</v>
      </c>
      <c r="Z107" s="1">
        <v>2</v>
      </c>
      <c r="AA107" s="1" t="s">
        <v>99</v>
      </c>
      <c r="AB107" s="1">
        <v>1</v>
      </c>
      <c r="AC107" s="1" t="s">
        <v>169</v>
      </c>
      <c r="AD107" s="5" t="s">
        <v>168</v>
      </c>
      <c r="AE107" s="13" t="s">
        <v>821</v>
      </c>
      <c r="AF107" s="13"/>
      <c r="AG107" s="5"/>
      <c r="AI107" s="1">
        <v>3</v>
      </c>
      <c r="AJ107" s="1">
        <v>4.7</v>
      </c>
      <c r="AL107" s="1" t="s">
        <v>118</v>
      </c>
      <c r="AM107" s="2"/>
      <c r="AN107" s="3"/>
      <c r="AP107" s="15"/>
      <c r="AR107" s="3">
        <v>0.2</v>
      </c>
      <c r="AS107" s="3">
        <v>0.2</v>
      </c>
      <c r="AT107" s="3"/>
      <c r="AU107" s="3"/>
      <c r="AV107" s="1">
        <v>278</v>
      </c>
      <c r="AW107" s="3"/>
      <c r="AX107" s="3"/>
      <c r="AY107" s="1">
        <v>199</v>
      </c>
      <c r="AZ107" s="1">
        <v>172</v>
      </c>
      <c r="BA107" s="1">
        <v>153</v>
      </c>
      <c r="BD107" s="1">
        <f>BA107/AY107</f>
        <v>0.76884422110552764</v>
      </c>
      <c r="BE107" s="1">
        <f t="shared" si="57"/>
        <v>0.92</v>
      </c>
      <c r="BG107" s="3"/>
    </row>
    <row r="108" spans="1:59" ht="17.25" customHeight="1" x14ac:dyDescent="0.2">
      <c r="A108" s="4">
        <v>60</v>
      </c>
      <c r="B108" s="4" t="s">
        <v>232</v>
      </c>
      <c r="C108" s="4" t="s">
        <v>229</v>
      </c>
      <c r="D108" s="4" t="s">
        <v>205</v>
      </c>
      <c r="F108" s="12"/>
      <c r="G108" s="12" t="e">
        <f t="shared" si="26"/>
        <v>#DIV/0!</v>
      </c>
      <c r="T108" s="4" t="s">
        <v>230</v>
      </c>
      <c r="V108" s="4">
        <v>3</v>
      </c>
      <c r="W108" s="4" t="s">
        <v>228</v>
      </c>
      <c r="Y108" s="4" t="s">
        <v>82</v>
      </c>
      <c r="Z108" s="4">
        <v>1</v>
      </c>
      <c r="AA108" s="4" t="s">
        <v>231</v>
      </c>
      <c r="AB108" s="4">
        <v>1</v>
      </c>
      <c r="AC108" s="4" t="s">
        <v>170</v>
      </c>
      <c r="AD108" s="6" t="s">
        <v>227</v>
      </c>
      <c r="AE108" s="12" t="s">
        <v>822</v>
      </c>
      <c r="AF108" s="12"/>
      <c r="AG108" s="6"/>
      <c r="AI108" s="4">
        <v>2.7</v>
      </c>
      <c r="AJ108" s="4">
        <v>4</v>
      </c>
      <c r="AM108" s="10"/>
      <c r="AR108" s="7">
        <v>1</v>
      </c>
      <c r="AS108" s="7">
        <v>1</v>
      </c>
      <c r="AT108" s="7">
        <f>7+58.7*0.865+0.055*24.3+0.09*58.9+32</f>
        <v>96.412999999999997</v>
      </c>
      <c r="AU108" s="7">
        <f t="shared" ref="AU108:AU109" si="58">96485.3/3600/AT108</f>
        <v>0.27798608302015521</v>
      </c>
      <c r="AV108" s="4">
        <v>278</v>
      </c>
      <c r="AY108" s="4">
        <v>114</v>
      </c>
      <c r="AZ108" s="4">
        <v>112</v>
      </c>
      <c r="BA108" s="4">
        <v>115</v>
      </c>
      <c r="BB108" s="4">
        <v>112</v>
      </c>
      <c r="BC108" s="4" t="s">
        <v>233</v>
      </c>
      <c r="BD108" s="4">
        <f>BB108/AZ108</f>
        <v>1</v>
      </c>
      <c r="BE108" s="4">
        <f>(AZ108-BB108)/50</f>
        <v>0</v>
      </c>
    </row>
    <row r="109" spans="1:59" s="1" customFormat="1" ht="19.5" customHeight="1" x14ac:dyDescent="0.2">
      <c r="A109" s="1">
        <v>60</v>
      </c>
      <c r="B109" s="1" t="s">
        <v>234</v>
      </c>
      <c r="C109" s="1" t="s">
        <v>229</v>
      </c>
      <c r="D109" s="1" t="s">
        <v>205</v>
      </c>
      <c r="F109" s="13"/>
      <c r="G109" s="12" t="e">
        <f t="shared" si="26"/>
        <v>#DIV/0!</v>
      </c>
      <c r="R109" s="3"/>
      <c r="T109" s="1" t="s">
        <v>230</v>
      </c>
      <c r="V109" s="1">
        <v>3</v>
      </c>
      <c r="W109" s="1" t="s">
        <v>228</v>
      </c>
      <c r="Y109" s="1" t="s">
        <v>82</v>
      </c>
      <c r="Z109" s="1">
        <v>1</v>
      </c>
      <c r="AA109" s="1" t="s">
        <v>231</v>
      </c>
      <c r="AB109" s="1">
        <v>1</v>
      </c>
      <c r="AC109" s="1" t="s">
        <v>170</v>
      </c>
      <c r="AD109" s="5" t="s">
        <v>227</v>
      </c>
      <c r="AE109" s="13" t="s">
        <v>822</v>
      </c>
      <c r="AF109" s="13"/>
      <c r="AG109" s="5"/>
      <c r="AI109" s="1">
        <v>2.7</v>
      </c>
      <c r="AJ109" s="1">
        <v>4</v>
      </c>
      <c r="AM109" s="2"/>
      <c r="AN109" s="3"/>
      <c r="AP109" s="15"/>
      <c r="AR109" s="3">
        <v>1</v>
      </c>
      <c r="AS109" s="3">
        <v>1</v>
      </c>
      <c r="AT109" s="3">
        <f>7+58.7*0.865+0.055*24.3+0.09*58.9+32</f>
        <v>96.412999999999997</v>
      </c>
      <c r="AU109" s="3">
        <f t="shared" si="58"/>
        <v>0.27798608302015521</v>
      </c>
      <c r="AV109" s="1">
        <v>278</v>
      </c>
      <c r="AW109" s="3"/>
      <c r="AX109" s="3"/>
      <c r="AY109" s="1">
        <v>120</v>
      </c>
      <c r="AZ109" s="1">
        <v>120</v>
      </c>
      <c r="BA109" s="1">
        <v>120</v>
      </c>
      <c r="BB109" s="1">
        <v>112</v>
      </c>
      <c r="BC109" s="1" t="s">
        <v>235</v>
      </c>
      <c r="BD109" s="1">
        <f>BB109/AZ109</f>
        <v>0.93333333333333335</v>
      </c>
      <c r="BE109" s="1">
        <f>(AZ109-BB109)/50</f>
        <v>0.16</v>
      </c>
      <c r="BG109" s="3"/>
    </row>
    <row r="110" spans="1:59" ht="17.25" customHeight="1" x14ac:dyDescent="0.2">
      <c r="A110" s="4">
        <v>55</v>
      </c>
      <c r="B110" s="4" t="s">
        <v>172</v>
      </c>
      <c r="C110" s="4" t="s">
        <v>206</v>
      </c>
      <c r="F110" s="12">
        <v>3.2</v>
      </c>
      <c r="G110" s="12">
        <f t="shared" si="26"/>
        <v>3.5666666666666664</v>
      </c>
      <c r="H110" s="4">
        <v>4</v>
      </c>
      <c r="L110" s="4">
        <v>2.7</v>
      </c>
      <c r="M110" s="4">
        <v>4</v>
      </c>
      <c r="T110" s="4" t="s">
        <v>177</v>
      </c>
      <c r="V110" s="4">
        <v>2</v>
      </c>
      <c r="W110" s="4" t="s">
        <v>52</v>
      </c>
      <c r="Y110" s="4" t="s">
        <v>15</v>
      </c>
      <c r="Z110" s="4">
        <v>2</v>
      </c>
      <c r="AA110" s="4" t="s">
        <v>176</v>
      </c>
      <c r="AB110" s="4">
        <v>1</v>
      </c>
      <c r="AC110" s="4" t="s">
        <v>173</v>
      </c>
      <c r="AD110" s="6" t="s">
        <v>174</v>
      </c>
      <c r="AE110" s="12" t="s">
        <v>823</v>
      </c>
      <c r="AF110" s="12">
        <v>3.2</v>
      </c>
      <c r="AG110" s="6"/>
      <c r="AI110" s="4">
        <v>2</v>
      </c>
      <c r="AJ110" s="4">
        <v>4.5</v>
      </c>
      <c r="AL110" s="4" t="s">
        <v>165</v>
      </c>
      <c r="AM110" s="10" t="s">
        <v>175</v>
      </c>
      <c r="AR110" s="7">
        <v>0.2</v>
      </c>
      <c r="AS110" s="7">
        <v>0.2</v>
      </c>
      <c r="AW110" s="7">
        <v>36</v>
      </c>
      <c r="AX110" s="7">
        <v>36</v>
      </c>
      <c r="AY110" s="4" t="s">
        <v>178</v>
      </c>
      <c r="AZ110" s="4">
        <v>167</v>
      </c>
      <c r="BA110" s="4">
        <v>166</v>
      </c>
      <c r="BD110" s="4">
        <f>BA110/172</f>
        <v>0.96511627906976749</v>
      </c>
      <c r="BE110" s="4">
        <f>(172-BA110)/50</f>
        <v>0.12</v>
      </c>
    </row>
    <row r="111" spans="1:59" s="1" customFormat="1" ht="19.5" customHeight="1" x14ac:dyDescent="0.2">
      <c r="A111" s="1">
        <v>55</v>
      </c>
      <c r="B111" s="1" t="s">
        <v>172</v>
      </c>
      <c r="C111" s="1" t="s">
        <v>206</v>
      </c>
      <c r="F111" s="13">
        <v>3.2</v>
      </c>
      <c r="G111" s="12">
        <f t="shared" si="26"/>
        <v>3.5666666666666664</v>
      </c>
      <c r="H111" s="1">
        <v>4</v>
      </c>
      <c r="L111" s="1">
        <v>2.7</v>
      </c>
      <c r="M111" s="1">
        <v>4</v>
      </c>
      <c r="R111" s="3"/>
      <c r="T111" s="1" t="s">
        <v>180</v>
      </c>
      <c r="V111" s="1">
        <v>2</v>
      </c>
      <c r="W111" s="1" t="s">
        <v>52</v>
      </c>
      <c r="Y111" s="1" t="s">
        <v>15</v>
      </c>
      <c r="Z111" s="1">
        <v>2</v>
      </c>
      <c r="AA111" s="1" t="s">
        <v>176</v>
      </c>
      <c r="AB111" s="1">
        <v>1</v>
      </c>
      <c r="AC111" s="1" t="s">
        <v>173</v>
      </c>
      <c r="AD111" s="5" t="s">
        <v>174</v>
      </c>
      <c r="AE111" s="13" t="s">
        <v>823</v>
      </c>
      <c r="AF111" s="13">
        <v>3.2</v>
      </c>
      <c r="AG111" s="5"/>
      <c r="AI111" s="1">
        <v>2</v>
      </c>
      <c r="AJ111" s="1">
        <v>4.5</v>
      </c>
      <c r="AL111" s="1" t="s">
        <v>165</v>
      </c>
      <c r="AM111" s="2" t="s">
        <v>175</v>
      </c>
      <c r="AN111" s="3"/>
      <c r="AP111" s="15"/>
      <c r="AR111" s="3">
        <v>0.2</v>
      </c>
      <c r="AS111" s="3">
        <v>0.2</v>
      </c>
      <c r="AT111" s="3"/>
      <c r="AU111" s="3"/>
      <c r="AW111" s="3">
        <v>36</v>
      </c>
      <c r="AX111" s="3">
        <v>36</v>
      </c>
      <c r="AY111" s="1" t="s">
        <v>179</v>
      </c>
      <c r="AZ111" s="1">
        <v>161</v>
      </c>
      <c r="BA111" s="1">
        <v>147</v>
      </c>
      <c r="BD111" s="1">
        <f>BA111/169</f>
        <v>0.86982248520710059</v>
      </c>
      <c r="BE111" s="1">
        <f>(169-BA111)/50</f>
        <v>0.44</v>
      </c>
      <c r="BG111" s="3"/>
    </row>
    <row r="112" spans="1:59" ht="17.25" customHeight="1" x14ac:dyDescent="0.2">
      <c r="A112" s="4">
        <v>55</v>
      </c>
      <c r="B112" s="4" t="s">
        <v>172</v>
      </c>
      <c r="C112" s="4" t="s">
        <v>206</v>
      </c>
      <c r="F112" s="12">
        <v>3.65</v>
      </c>
      <c r="G112" s="12">
        <f t="shared" si="26"/>
        <v>3.5</v>
      </c>
      <c r="H112" s="4">
        <v>3.9</v>
      </c>
      <c r="L112" s="4">
        <v>2.7</v>
      </c>
      <c r="M112" s="4">
        <v>3.9</v>
      </c>
      <c r="T112" s="4" t="s">
        <v>181</v>
      </c>
      <c r="V112" s="4">
        <v>2</v>
      </c>
      <c r="W112" s="4" t="s">
        <v>52</v>
      </c>
      <c r="Y112" s="4" t="s">
        <v>15</v>
      </c>
      <c r="Z112" s="4">
        <v>2</v>
      </c>
      <c r="AA112" s="4" t="s">
        <v>176</v>
      </c>
      <c r="AB112" s="4">
        <v>1</v>
      </c>
      <c r="AC112" s="4" t="s">
        <v>173</v>
      </c>
      <c r="AD112" s="6" t="s">
        <v>174</v>
      </c>
      <c r="AE112" s="12" t="s">
        <v>823</v>
      </c>
      <c r="AF112" s="12">
        <v>3.65</v>
      </c>
      <c r="AG112" s="6"/>
      <c r="AI112" s="4">
        <v>2</v>
      </c>
      <c r="AJ112" s="4">
        <v>4.5</v>
      </c>
      <c r="AL112" s="4" t="s">
        <v>165</v>
      </c>
      <c r="AM112" s="10" t="s">
        <v>175</v>
      </c>
      <c r="AR112" s="7">
        <v>0.2</v>
      </c>
      <c r="AS112" s="7">
        <v>0.2</v>
      </c>
      <c r="AW112" s="7">
        <v>36</v>
      </c>
      <c r="AX112" s="7">
        <v>36</v>
      </c>
      <c r="AY112" s="4">
        <v>102</v>
      </c>
      <c r="AZ112" s="4">
        <v>75</v>
      </c>
      <c r="BA112" s="4">
        <v>54</v>
      </c>
      <c r="BD112" s="4">
        <f>BA112/AY112</f>
        <v>0.52941176470588236</v>
      </c>
      <c r="BE112" s="4">
        <f t="shared" ref="BE112" si="59">(AY112-BA112)/50</f>
        <v>0.96</v>
      </c>
    </row>
    <row r="113" spans="1:59" s="1" customFormat="1" ht="19.5" customHeight="1" x14ac:dyDescent="0.2">
      <c r="A113" s="1">
        <v>55</v>
      </c>
      <c r="B113" s="1" t="s">
        <v>172</v>
      </c>
      <c r="C113" s="1" t="s">
        <v>206</v>
      </c>
      <c r="F113" s="13">
        <v>3.75</v>
      </c>
      <c r="G113" s="12">
        <f t="shared" si="26"/>
        <v>3.5</v>
      </c>
      <c r="H113" s="1">
        <v>3.9</v>
      </c>
      <c r="L113" s="1">
        <v>2.7</v>
      </c>
      <c r="M113" s="1">
        <v>3.9</v>
      </c>
      <c r="R113" s="3"/>
      <c r="T113" s="1" t="s">
        <v>182</v>
      </c>
      <c r="V113" s="1">
        <v>2</v>
      </c>
      <c r="W113" s="1" t="s">
        <v>52</v>
      </c>
      <c r="Y113" s="1" t="s">
        <v>15</v>
      </c>
      <c r="Z113" s="1">
        <v>2</v>
      </c>
      <c r="AA113" s="1" t="s">
        <v>176</v>
      </c>
      <c r="AB113" s="1">
        <v>1</v>
      </c>
      <c r="AC113" s="1" t="s">
        <v>173</v>
      </c>
      <c r="AD113" s="5" t="s">
        <v>174</v>
      </c>
      <c r="AE113" s="13" t="s">
        <v>823</v>
      </c>
      <c r="AF113" s="13">
        <v>3.75</v>
      </c>
      <c r="AG113" s="5"/>
      <c r="AI113" s="1">
        <v>2</v>
      </c>
      <c r="AJ113" s="1">
        <v>4.5</v>
      </c>
      <c r="AL113" s="1" t="s">
        <v>165</v>
      </c>
      <c r="AM113" s="2" t="s">
        <v>175</v>
      </c>
      <c r="AN113" s="3"/>
      <c r="AP113" s="15"/>
      <c r="AR113" s="3">
        <v>0.2</v>
      </c>
      <c r="AS113" s="3">
        <v>0.2</v>
      </c>
      <c r="AT113" s="3"/>
      <c r="AU113" s="3"/>
      <c r="AW113" s="3">
        <v>36</v>
      </c>
      <c r="AX113" s="3">
        <v>36</v>
      </c>
      <c r="AY113" s="1">
        <v>96</v>
      </c>
      <c r="AZ113" s="1">
        <v>68</v>
      </c>
      <c r="BA113" s="1">
        <v>49</v>
      </c>
      <c r="BD113" s="1">
        <f>BA113/AY113</f>
        <v>0.51041666666666663</v>
      </c>
      <c r="BE113" s="1">
        <f t="shared" ref="BE113" si="60">(AY113-BA113)/50</f>
        <v>0.94</v>
      </c>
      <c r="BG113" s="3"/>
    </row>
    <row r="114" spans="1:59" ht="17.25" customHeight="1" x14ac:dyDescent="0.2">
      <c r="A114" s="4">
        <v>20</v>
      </c>
      <c r="B114" s="4" t="s">
        <v>187</v>
      </c>
      <c r="C114" s="4" t="s">
        <v>207</v>
      </c>
      <c r="F114" s="12"/>
      <c r="G114" s="12">
        <f t="shared" si="26"/>
        <v>3.5</v>
      </c>
      <c r="L114" s="4">
        <v>3.5</v>
      </c>
      <c r="V114" s="4">
        <v>6</v>
      </c>
      <c r="W114" s="4" t="s">
        <v>164</v>
      </c>
      <c r="Y114" s="4" t="s">
        <v>15</v>
      </c>
      <c r="Z114" s="4">
        <v>2</v>
      </c>
      <c r="AA114" s="4" t="s">
        <v>190</v>
      </c>
      <c r="AB114" s="4">
        <v>1</v>
      </c>
      <c r="AC114" s="4" t="s">
        <v>185</v>
      </c>
      <c r="AD114" s="6" t="s">
        <v>186</v>
      </c>
      <c r="AE114" s="12" t="s">
        <v>821</v>
      </c>
      <c r="AF114" s="12"/>
      <c r="AG114" s="6"/>
      <c r="AI114" s="4">
        <v>2.5</v>
      </c>
      <c r="AJ114" s="4">
        <v>4.4000000000000004</v>
      </c>
      <c r="AL114" s="4" t="s">
        <v>189</v>
      </c>
      <c r="AM114" s="10" t="s">
        <v>188</v>
      </c>
      <c r="AR114" s="7">
        <v>0.5</v>
      </c>
      <c r="AS114" s="7">
        <v>0.5</v>
      </c>
      <c r="AW114" s="7">
        <v>75</v>
      </c>
      <c r="AX114" s="7">
        <v>75</v>
      </c>
      <c r="AY114" s="4" t="s">
        <v>191</v>
      </c>
      <c r="AZ114" s="4">
        <v>127</v>
      </c>
      <c r="BA114" s="4">
        <v>129</v>
      </c>
      <c r="BB114" s="4">
        <v>136</v>
      </c>
      <c r="BD114" s="4">
        <f>BA114/132</f>
        <v>0.97727272727272729</v>
      </c>
      <c r="BE114" s="4">
        <f>(132-BA114)/50</f>
        <v>0.06</v>
      </c>
    </row>
    <row r="115" spans="1:59" s="1" customFormat="1" ht="19.5" customHeight="1" x14ac:dyDescent="0.2">
      <c r="A115" s="1">
        <v>55</v>
      </c>
      <c r="B115" s="1" t="s">
        <v>187</v>
      </c>
      <c r="C115" s="1" t="s">
        <v>207</v>
      </c>
      <c r="F115" s="13"/>
      <c r="G115" s="12" t="e">
        <f t="shared" si="26"/>
        <v>#DIV/0!</v>
      </c>
      <c r="R115" s="3"/>
      <c r="V115" s="1">
        <v>6</v>
      </c>
      <c r="W115" s="1" t="s">
        <v>164</v>
      </c>
      <c r="Y115" s="1" t="s">
        <v>15</v>
      </c>
      <c r="Z115" s="1">
        <v>2</v>
      </c>
      <c r="AA115" s="1" t="s">
        <v>190</v>
      </c>
      <c r="AB115" s="1">
        <v>1</v>
      </c>
      <c r="AC115" s="1" t="s">
        <v>185</v>
      </c>
      <c r="AD115" s="5" t="s">
        <v>186</v>
      </c>
      <c r="AE115" s="13" t="s">
        <v>821</v>
      </c>
      <c r="AF115" s="13"/>
      <c r="AG115" s="5"/>
      <c r="AI115" s="1">
        <v>2.5</v>
      </c>
      <c r="AJ115" s="1">
        <v>4.4000000000000004</v>
      </c>
      <c r="AL115" s="1" t="s">
        <v>189</v>
      </c>
      <c r="AM115" s="2" t="s">
        <v>188</v>
      </c>
      <c r="AN115" s="3"/>
      <c r="AP115" s="15"/>
      <c r="AR115" s="3">
        <v>0.5</v>
      </c>
      <c r="AS115" s="3">
        <v>0.5</v>
      </c>
      <c r="AT115" s="3"/>
      <c r="AU115" s="3"/>
      <c r="AW115" s="3">
        <v>75</v>
      </c>
      <c r="AX115" s="3">
        <v>75</v>
      </c>
      <c r="AY115" s="1">
        <v>160</v>
      </c>
      <c r="AZ115" s="1">
        <v>164</v>
      </c>
      <c r="BA115" s="1">
        <v>168</v>
      </c>
      <c r="BB115" s="1">
        <v>172</v>
      </c>
      <c r="BD115" s="1">
        <f t="shared" ref="BD115:BD127" si="61">BA115/AY115</f>
        <v>1.05</v>
      </c>
      <c r="BE115" s="1">
        <f t="shared" ref="BE115" si="62">(AY115-BA115)/50</f>
        <v>-0.16</v>
      </c>
      <c r="BG115" s="3"/>
    </row>
    <row r="116" spans="1:59" ht="17.25" customHeight="1" x14ac:dyDescent="0.2">
      <c r="A116" s="4">
        <v>30</v>
      </c>
      <c r="B116" s="4" t="s">
        <v>193</v>
      </c>
      <c r="C116" s="4" t="s">
        <v>208</v>
      </c>
      <c r="F116" s="12">
        <v>3.39</v>
      </c>
      <c r="G116" s="12">
        <f t="shared" si="26"/>
        <v>3.45</v>
      </c>
      <c r="H116" s="4">
        <v>3.72</v>
      </c>
      <c r="L116" s="4">
        <v>3.18</v>
      </c>
      <c r="T116" s="4" t="s">
        <v>195</v>
      </c>
      <c r="V116" s="4">
        <v>6</v>
      </c>
      <c r="W116" s="4" t="s">
        <v>67</v>
      </c>
      <c r="Y116" s="4" t="s">
        <v>15</v>
      </c>
      <c r="Z116" s="4">
        <v>2</v>
      </c>
      <c r="AA116" s="4" t="s">
        <v>202</v>
      </c>
      <c r="AB116" s="4">
        <v>1</v>
      </c>
      <c r="AC116" s="4" t="s">
        <v>192</v>
      </c>
      <c r="AD116" s="6" t="s">
        <v>550</v>
      </c>
      <c r="AE116" s="12" t="s">
        <v>821</v>
      </c>
      <c r="AF116" s="12">
        <v>3.39</v>
      </c>
      <c r="AG116" s="6"/>
      <c r="AI116" s="4">
        <v>2</v>
      </c>
      <c r="AJ116" s="4">
        <v>4.5</v>
      </c>
      <c r="AL116" s="4" t="s">
        <v>118</v>
      </c>
      <c r="AM116" s="10" t="s">
        <v>194</v>
      </c>
      <c r="AP116" s="15">
        <v>200</v>
      </c>
      <c r="AQ116" s="4">
        <v>0.3</v>
      </c>
      <c r="AS116" s="7">
        <f t="shared" ref="AS116:AS123" si="63">AW116/AV116</f>
        <v>9.7264437689969604E-2</v>
      </c>
      <c r="AT116" s="7">
        <f>1.05*7+0.37*58.9+47.9*0.42+32</f>
        <v>81.260999999999996</v>
      </c>
      <c r="AU116" s="7">
        <f>96485.3/3600/AT116</f>
        <v>0.32981962100173789</v>
      </c>
      <c r="AV116" s="4">
        <v>329</v>
      </c>
      <c r="AW116" s="7">
        <v>32</v>
      </c>
      <c r="AX116" s="7">
        <v>32</v>
      </c>
      <c r="AY116" s="4">
        <v>122</v>
      </c>
      <c r="AZ116" s="4">
        <v>115</v>
      </c>
      <c r="BA116" s="4">
        <v>113</v>
      </c>
      <c r="BD116" s="4">
        <f t="shared" si="61"/>
        <v>0.92622950819672134</v>
      </c>
      <c r="BE116" s="4">
        <f t="shared" ref="BE116:BE121" si="64">(AY116-BA116)/50</f>
        <v>0.18</v>
      </c>
      <c r="BG116" s="7">
        <f>122/201</f>
        <v>0.60696517412935325</v>
      </c>
    </row>
    <row r="117" spans="1:59" s="1" customFormat="1" ht="19.5" customHeight="1" x14ac:dyDescent="0.2">
      <c r="A117" s="1">
        <v>30</v>
      </c>
      <c r="B117" s="1" t="s">
        <v>193</v>
      </c>
      <c r="C117" s="1" t="s">
        <v>208</v>
      </c>
      <c r="F117" s="13">
        <v>3.38</v>
      </c>
      <c r="G117" s="12">
        <f t="shared" si="26"/>
        <v>3.4</v>
      </c>
      <c r="H117" s="1">
        <v>3.67</v>
      </c>
      <c r="L117" s="1">
        <v>3.13</v>
      </c>
      <c r="R117" s="3"/>
      <c r="T117" s="1" t="s">
        <v>196</v>
      </c>
      <c r="V117" s="1">
        <v>6</v>
      </c>
      <c r="W117" s="1" t="s">
        <v>67</v>
      </c>
      <c r="Y117" s="1" t="s">
        <v>15</v>
      </c>
      <c r="Z117" s="1">
        <v>2</v>
      </c>
      <c r="AA117" s="1" t="s">
        <v>202</v>
      </c>
      <c r="AB117" s="1">
        <v>1</v>
      </c>
      <c r="AC117" s="1" t="s">
        <v>192</v>
      </c>
      <c r="AD117" s="5" t="s">
        <v>550</v>
      </c>
      <c r="AE117" s="13" t="s">
        <v>821</v>
      </c>
      <c r="AF117" s="13">
        <v>3.38</v>
      </c>
      <c r="AG117" s="5"/>
      <c r="AI117" s="1">
        <v>2</v>
      </c>
      <c r="AJ117" s="1">
        <v>4.5</v>
      </c>
      <c r="AL117" s="1" t="s">
        <v>118</v>
      </c>
      <c r="AM117" s="2" t="s">
        <v>194</v>
      </c>
      <c r="AN117" s="3"/>
      <c r="AP117" s="15">
        <v>200</v>
      </c>
      <c r="AQ117" s="1">
        <v>0.3</v>
      </c>
      <c r="AR117" s="3"/>
      <c r="AS117" s="3">
        <f t="shared" si="63"/>
        <v>9.7264437689969604E-2</v>
      </c>
      <c r="AT117" s="3"/>
      <c r="AU117" s="3"/>
      <c r="AV117" s="1">
        <v>329</v>
      </c>
      <c r="AW117" s="3">
        <v>32</v>
      </c>
      <c r="AX117" s="3">
        <v>32</v>
      </c>
      <c r="AY117" s="1">
        <v>133</v>
      </c>
      <c r="AZ117" s="1">
        <v>126</v>
      </c>
      <c r="BA117" s="1">
        <v>126</v>
      </c>
      <c r="BD117" s="1">
        <f t="shared" si="61"/>
        <v>0.94736842105263153</v>
      </c>
      <c r="BE117" s="1">
        <f t="shared" si="64"/>
        <v>0.14000000000000001</v>
      </c>
      <c r="BG117" s="3">
        <f>133/222</f>
        <v>0.59909909909909909</v>
      </c>
    </row>
    <row r="118" spans="1:59" ht="17.25" customHeight="1" x14ac:dyDescent="0.2">
      <c r="A118" s="4">
        <v>30</v>
      </c>
      <c r="B118" s="4" t="s">
        <v>193</v>
      </c>
      <c r="C118" s="4" t="s">
        <v>208</v>
      </c>
      <c r="F118" s="12">
        <v>3.37</v>
      </c>
      <c r="G118" s="12">
        <f t="shared" si="26"/>
        <v>3.35</v>
      </c>
      <c r="H118" s="4">
        <v>3.7</v>
      </c>
      <c r="L118" s="4">
        <v>3</v>
      </c>
      <c r="T118" s="4" t="s">
        <v>197</v>
      </c>
      <c r="V118" s="4">
        <v>6</v>
      </c>
      <c r="W118" s="4" t="s">
        <v>67</v>
      </c>
      <c r="Y118" s="4" t="s">
        <v>15</v>
      </c>
      <c r="Z118" s="4">
        <v>2</v>
      </c>
      <c r="AA118" s="4" t="s">
        <v>202</v>
      </c>
      <c r="AB118" s="4">
        <v>1</v>
      </c>
      <c r="AC118" s="4" t="s">
        <v>192</v>
      </c>
      <c r="AD118" s="6" t="s">
        <v>550</v>
      </c>
      <c r="AE118" s="12" t="s">
        <v>821</v>
      </c>
      <c r="AF118" s="12">
        <v>3.37</v>
      </c>
      <c r="AG118" s="6"/>
      <c r="AI118" s="4">
        <v>2</v>
      </c>
      <c r="AJ118" s="4">
        <v>4.5</v>
      </c>
      <c r="AL118" s="4" t="s">
        <v>118</v>
      </c>
      <c r="AM118" s="10" t="s">
        <v>194</v>
      </c>
      <c r="AP118" s="15">
        <v>200</v>
      </c>
      <c r="AQ118" s="4">
        <v>0.3</v>
      </c>
      <c r="AS118" s="7">
        <f t="shared" si="63"/>
        <v>9.7264437689969604E-2</v>
      </c>
      <c r="AV118" s="4">
        <v>329</v>
      </c>
      <c r="AW118" s="7">
        <v>32</v>
      </c>
      <c r="AX118" s="7">
        <v>32</v>
      </c>
      <c r="AY118" s="4">
        <v>147</v>
      </c>
      <c r="AZ118" s="4">
        <v>133</v>
      </c>
      <c r="BA118" s="4">
        <v>139</v>
      </c>
      <c r="BD118" s="4">
        <f t="shared" si="61"/>
        <v>0.94557823129251706</v>
      </c>
      <c r="BE118" s="4">
        <f t="shared" si="64"/>
        <v>0.16</v>
      </c>
      <c r="BG118" s="7">
        <f>147/233</f>
        <v>0.63090128755364805</v>
      </c>
    </row>
    <row r="119" spans="1:59" s="1" customFormat="1" ht="19.5" customHeight="1" x14ac:dyDescent="0.2">
      <c r="A119" s="1">
        <v>30</v>
      </c>
      <c r="B119" s="1" t="s">
        <v>193</v>
      </c>
      <c r="C119" s="1" t="s">
        <v>208</v>
      </c>
      <c r="F119" s="13">
        <v>3.36</v>
      </c>
      <c r="G119" s="12">
        <f t="shared" si="26"/>
        <v>3.49</v>
      </c>
      <c r="H119" s="1">
        <v>3.8</v>
      </c>
      <c r="L119" s="1">
        <v>3.18</v>
      </c>
      <c r="R119" s="3"/>
      <c r="T119" s="1" t="s">
        <v>198</v>
      </c>
      <c r="V119" s="1">
        <v>6</v>
      </c>
      <c r="W119" s="1" t="s">
        <v>67</v>
      </c>
      <c r="Y119" s="1" t="s">
        <v>15</v>
      </c>
      <c r="Z119" s="1">
        <v>2</v>
      </c>
      <c r="AA119" s="1" t="s">
        <v>202</v>
      </c>
      <c r="AB119" s="1">
        <v>1</v>
      </c>
      <c r="AC119" s="1" t="s">
        <v>192</v>
      </c>
      <c r="AD119" s="5" t="s">
        <v>550</v>
      </c>
      <c r="AE119" s="13" t="s">
        <v>821</v>
      </c>
      <c r="AF119" s="13">
        <v>3.36</v>
      </c>
      <c r="AG119" s="5"/>
      <c r="AI119" s="1">
        <v>2</v>
      </c>
      <c r="AJ119" s="1">
        <v>4.5</v>
      </c>
      <c r="AL119" s="1" t="s">
        <v>118</v>
      </c>
      <c r="AM119" s="2" t="s">
        <v>194</v>
      </c>
      <c r="AN119" s="3"/>
      <c r="AP119" s="15">
        <v>200</v>
      </c>
      <c r="AQ119" s="1">
        <v>0.3</v>
      </c>
      <c r="AR119" s="3"/>
      <c r="AS119" s="3">
        <f t="shared" si="63"/>
        <v>9.7264437689969604E-2</v>
      </c>
      <c r="AT119" s="3"/>
      <c r="AU119" s="3"/>
      <c r="AV119" s="1">
        <v>329</v>
      </c>
      <c r="AW119" s="3">
        <v>32</v>
      </c>
      <c r="AX119" s="3">
        <v>32</v>
      </c>
      <c r="AY119" s="1">
        <v>136</v>
      </c>
      <c r="AZ119" s="1">
        <v>129</v>
      </c>
      <c r="BA119" s="1">
        <v>130</v>
      </c>
      <c r="BD119" s="1">
        <f t="shared" si="61"/>
        <v>0.95588235294117652</v>
      </c>
      <c r="BE119" s="1">
        <f t="shared" si="64"/>
        <v>0.12</v>
      </c>
      <c r="BG119" s="3">
        <f>AY119/250</f>
        <v>0.54400000000000004</v>
      </c>
    </row>
    <row r="120" spans="1:59" ht="17.25" customHeight="1" x14ac:dyDescent="0.2">
      <c r="A120" s="4">
        <v>30</v>
      </c>
      <c r="B120" s="4" t="s">
        <v>193</v>
      </c>
      <c r="C120" s="4" t="s">
        <v>208</v>
      </c>
      <c r="F120" s="12">
        <v>3.34</v>
      </c>
      <c r="G120" s="12">
        <f t="shared" si="26"/>
        <v>3.4550000000000001</v>
      </c>
      <c r="H120" s="4">
        <v>3.8</v>
      </c>
      <c r="L120" s="4">
        <v>3.11</v>
      </c>
      <c r="T120" s="4" t="s">
        <v>199</v>
      </c>
      <c r="V120" s="4">
        <v>6</v>
      </c>
      <c r="W120" s="4" t="s">
        <v>67</v>
      </c>
      <c r="Y120" s="4" t="s">
        <v>15</v>
      </c>
      <c r="Z120" s="4">
        <v>2</v>
      </c>
      <c r="AA120" s="4" t="s">
        <v>202</v>
      </c>
      <c r="AB120" s="4">
        <v>1</v>
      </c>
      <c r="AC120" s="4" t="s">
        <v>192</v>
      </c>
      <c r="AD120" s="6" t="s">
        <v>550</v>
      </c>
      <c r="AE120" s="12" t="s">
        <v>821</v>
      </c>
      <c r="AF120" s="12">
        <v>3.34</v>
      </c>
      <c r="AG120" s="6"/>
      <c r="AI120" s="4">
        <v>2</v>
      </c>
      <c r="AJ120" s="4">
        <v>4.5</v>
      </c>
      <c r="AL120" s="4" t="s">
        <v>118</v>
      </c>
      <c r="AM120" s="10" t="s">
        <v>194</v>
      </c>
      <c r="AP120" s="15">
        <v>1000</v>
      </c>
      <c r="AQ120" s="4">
        <v>2</v>
      </c>
      <c r="AS120" s="7">
        <f t="shared" si="63"/>
        <v>9.7264437689969604E-2</v>
      </c>
      <c r="AV120" s="4">
        <v>329</v>
      </c>
      <c r="AW120" s="7">
        <v>32</v>
      </c>
      <c r="AX120" s="7">
        <v>32</v>
      </c>
      <c r="AY120" s="4">
        <v>130</v>
      </c>
      <c r="AZ120" s="4">
        <v>111</v>
      </c>
      <c r="BA120" s="4">
        <v>105</v>
      </c>
      <c r="BD120" s="4">
        <f t="shared" si="61"/>
        <v>0.80769230769230771</v>
      </c>
      <c r="BE120" s="4">
        <f t="shared" si="64"/>
        <v>0.5</v>
      </c>
      <c r="BG120" s="7">
        <f>AY120/266</f>
        <v>0.48872180451127817</v>
      </c>
    </row>
    <row r="121" spans="1:59" s="1" customFormat="1" ht="19.5" customHeight="1" x14ac:dyDescent="0.2">
      <c r="A121" s="1">
        <v>30</v>
      </c>
      <c r="B121" s="1" t="s">
        <v>193</v>
      </c>
      <c r="C121" s="1" t="s">
        <v>208</v>
      </c>
      <c r="F121" s="13">
        <v>3.39</v>
      </c>
      <c r="G121" s="12" t="e">
        <f t="shared" si="26"/>
        <v>#DIV/0!</v>
      </c>
      <c r="R121" s="3"/>
      <c r="T121" s="1" t="s">
        <v>197</v>
      </c>
      <c r="V121" s="1">
        <v>6</v>
      </c>
      <c r="W121" s="1" t="s">
        <v>67</v>
      </c>
      <c r="Y121" s="1" t="s">
        <v>15</v>
      </c>
      <c r="Z121" s="1">
        <v>2</v>
      </c>
      <c r="AA121" s="1" t="s">
        <v>202</v>
      </c>
      <c r="AB121" s="1">
        <v>1</v>
      </c>
      <c r="AC121" s="1" t="s">
        <v>192</v>
      </c>
      <c r="AD121" s="5" t="s">
        <v>550</v>
      </c>
      <c r="AE121" s="13" t="s">
        <v>821</v>
      </c>
      <c r="AF121" s="13">
        <v>3.39</v>
      </c>
      <c r="AG121" s="5"/>
      <c r="AI121" s="1">
        <v>2</v>
      </c>
      <c r="AJ121" s="1">
        <v>4.8</v>
      </c>
      <c r="AL121" s="1" t="s">
        <v>118</v>
      </c>
      <c r="AM121" s="2" t="s">
        <v>194</v>
      </c>
      <c r="AN121" s="3"/>
      <c r="AP121" s="15">
        <v>200</v>
      </c>
      <c r="AQ121" s="1">
        <v>0.3</v>
      </c>
      <c r="AR121" s="3"/>
      <c r="AS121" s="3">
        <f t="shared" si="63"/>
        <v>9.7264437689969604E-2</v>
      </c>
      <c r="AT121" s="3"/>
      <c r="AU121" s="3"/>
      <c r="AV121" s="1">
        <v>329</v>
      </c>
      <c r="AW121" s="3">
        <v>32</v>
      </c>
      <c r="AX121" s="3">
        <v>32</v>
      </c>
      <c r="AY121" s="1">
        <v>152</v>
      </c>
      <c r="AZ121" s="1">
        <v>145</v>
      </c>
      <c r="BA121" s="1">
        <v>147</v>
      </c>
      <c r="BD121" s="1">
        <f t="shared" si="61"/>
        <v>0.96710526315789469</v>
      </c>
      <c r="BE121" s="1">
        <f t="shared" si="64"/>
        <v>0.1</v>
      </c>
      <c r="BG121" s="3">
        <f>AY121/246</f>
        <v>0.61788617886178865</v>
      </c>
    </row>
    <row r="122" spans="1:59" ht="17.25" customHeight="1" x14ac:dyDescent="0.2">
      <c r="A122" s="4">
        <v>60</v>
      </c>
      <c r="B122" s="4" t="s">
        <v>193</v>
      </c>
      <c r="C122" s="4" t="s">
        <v>208</v>
      </c>
      <c r="F122" s="12">
        <v>3.32</v>
      </c>
      <c r="G122" s="12" t="e">
        <f t="shared" si="26"/>
        <v>#DIV/0!</v>
      </c>
      <c r="T122" s="4" t="s">
        <v>197</v>
      </c>
      <c r="V122" s="4">
        <v>6</v>
      </c>
      <c r="W122" s="4" t="s">
        <v>67</v>
      </c>
      <c r="Y122" s="4" t="s">
        <v>15</v>
      </c>
      <c r="Z122" s="4">
        <v>2</v>
      </c>
      <c r="AA122" s="4" t="s">
        <v>202</v>
      </c>
      <c r="AB122" s="4">
        <v>1</v>
      </c>
      <c r="AC122" s="4" t="s">
        <v>192</v>
      </c>
      <c r="AD122" s="6" t="s">
        <v>550</v>
      </c>
      <c r="AE122" s="12" t="s">
        <v>821</v>
      </c>
      <c r="AF122" s="12">
        <v>3.32</v>
      </c>
      <c r="AG122" s="6"/>
      <c r="AI122" s="4">
        <v>2</v>
      </c>
      <c r="AJ122" s="4">
        <v>4.8</v>
      </c>
      <c r="AL122" s="4" t="s">
        <v>118</v>
      </c>
      <c r="AM122" s="10" t="s">
        <v>194</v>
      </c>
      <c r="AP122" s="15">
        <v>200</v>
      </c>
      <c r="AQ122" s="4">
        <v>0.3</v>
      </c>
      <c r="AS122" s="7">
        <f t="shared" si="63"/>
        <v>9.7264437689969604E-2</v>
      </c>
      <c r="AV122" s="4">
        <v>329</v>
      </c>
      <c r="AW122" s="7">
        <v>32</v>
      </c>
      <c r="AX122" s="7">
        <v>32</v>
      </c>
      <c r="AY122" s="4">
        <v>202</v>
      </c>
      <c r="AZ122" s="4">
        <v>193</v>
      </c>
      <c r="BD122" s="4">
        <f t="shared" si="61"/>
        <v>0</v>
      </c>
      <c r="BG122" s="7">
        <f>AY122/272</f>
        <v>0.74264705882352944</v>
      </c>
    </row>
    <row r="123" spans="1:59" s="1" customFormat="1" ht="19.5" customHeight="1" x14ac:dyDescent="0.2">
      <c r="A123" s="1" t="s">
        <v>167</v>
      </c>
      <c r="B123" s="1" t="s">
        <v>213</v>
      </c>
      <c r="C123" s="1" t="s">
        <v>209</v>
      </c>
      <c r="D123" s="1" t="s">
        <v>205</v>
      </c>
      <c r="F123" s="13"/>
      <c r="G123" s="12" t="e">
        <f t="shared" si="26"/>
        <v>#DIV/0!</v>
      </c>
      <c r="R123" s="3"/>
      <c r="T123" s="1" t="s">
        <v>200</v>
      </c>
      <c r="V123" s="1">
        <v>3</v>
      </c>
      <c r="W123" s="1" t="s">
        <v>201</v>
      </c>
      <c r="Y123" s="1" t="s">
        <v>15</v>
      </c>
      <c r="Z123" s="1">
        <v>2</v>
      </c>
      <c r="AA123" s="1" t="s">
        <v>202</v>
      </c>
      <c r="AB123" s="1">
        <v>1</v>
      </c>
      <c r="AC123" s="1" t="s">
        <v>203</v>
      </c>
      <c r="AD123" s="5" t="s">
        <v>551</v>
      </c>
      <c r="AE123" s="13" t="s">
        <v>821</v>
      </c>
      <c r="AF123" s="13"/>
      <c r="AG123" s="5"/>
      <c r="AI123" s="1">
        <v>3</v>
      </c>
      <c r="AJ123" s="1">
        <v>4.5</v>
      </c>
      <c r="AM123" s="2"/>
      <c r="AN123" s="3"/>
      <c r="AP123" s="15">
        <v>200</v>
      </c>
      <c r="AQ123" s="1">
        <v>0.3</v>
      </c>
      <c r="AR123" s="3"/>
      <c r="AS123" s="3">
        <f t="shared" si="63"/>
        <v>0.14134275618374559</v>
      </c>
      <c r="AT123" s="3">
        <f>1.048*7+54.9*0.09+0.86*58.7+32</f>
        <v>94.759</v>
      </c>
      <c r="AU123" s="3">
        <f t="shared" ref="AU123:AU125" si="65">96485.3/3600/AT123</f>
        <v>0.28283827628217079</v>
      </c>
      <c r="AV123" s="1">
        <v>283</v>
      </c>
      <c r="AW123" s="3">
        <v>40</v>
      </c>
      <c r="AX123" s="3">
        <v>40</v>
      </c>
      <c r="AY123" s="1">
        <v>183</v>
      </c>
      <c r="AZ123" s="1">
        <v>164</v>
      </c>
      <c r="BA123" s="1">
        <v>162</v>
      </c>
      <c r="BD123" s="1">
        <f t="shared" si="61"/>
        <v>0.88524590163934425</v>
      </c>
      <c r="BE123" s="1">
        <f t="shared" ref="BE123:BE129" si="66">(AY123-BA123)/50</f>
        <v>0.42</v>
      </c>
      <c r="BG123" s="3"/>
    </row>
    <row r="124" spans="1:59" ht="17.25" customHeight="1" x14ac:dyDescent="0.2">
      <c r="A124" s="4" t="s">
        <v>167</v>
      </c>
      <c r="B124" s="4" t="s">
        <v>214</v>
      </c>
      <c r="C124" s="4" t="s">
        <v>209</v>
      </c>
      <c r="D124" s="4" t="s">
        <v>205</v>
      </c>
      <c r="F124" s="12"/>
      <c r="G124" s="12" t="e">
        <f t="shared" si="26"/>
        <v>#DIV/0!</v>
      </c>
      <c r="T124" s="4" t="s">
        <v>200</v>
      </c>
      <c r="V124" s="4">
        <v>3</v>
      </c>
      <c r="W124" s="4" t="s">
        <v>201</v>
      </c>
      <c r="Y124" s="4" t="s">
        <v>15</v>
      </c>
      <c r="Z124" s="4">
        <v>2</v>
      </c>
      <c r="AA124" s="4" t="s">
        <v>202</v>
      </c>
      <c r="AB124" s="4">
        <v>1</v>
      </c>
      <c r="AC124" s="4" t="s">
        <v>203</v>
      </c>
      <c r="AD124" s="6" t="s">
        <v>551</v>
      </c>
      <c r="AE124" s="12" t="s">
        <v>821</v>
      </c>
      <c r="AF124" s="12"/>
      <c r="AG124" s="6"/>
      <c r="AI124" s="4">
        <v>3</v>
      </c>
      <c r="AJ124" s="4">
        <v>4.5</v>
      </c>
      <c r="AM124" s="10"/>
      <c r="AP124" s="15">
        <v>200</v>
      </c>
      <c r="AQ124" s="4">
        <v>0.3</v>
      </c>
      <c r="AS124" s="7">
        <f>AW124/AV124</f>
        <v>0.13422818791946309</v>
      </c>
      <c r="AT124" s="7">
        <f>1.13*7+54.9*0.26+0.61*58.7+32</f>
        <v>89.991</v>
      </c>
      <c r="AU124" s="7">
        <f t="shared" si="65"/>
        <v>0.29782391819428855</v>
      </c>
      <c r="AV124" s="4">
        <v>298</v>
      </c>
      <c r="AW124" s="7">
        <v>40</v>
      </c>
      <c r="AX124" s="7">
        <v>40</v>
      </c>
      <c r="AY124" s="4">
        <v>150</v>
      </c>
      <c r="AZ124" s="4">
        <v>147</v>
      </c>
      <c r="BD124" s="4">
        <f t="shared" si="61"/>
        <v>0</v>
      </c>
      <c r="BE124" s="4">
        <f t="shared" si="66"/>
        <v>3</v>
      </c>
    </row>
    <row r="125" spans="1:59" s="1" customFormat="1" ht="19.5" customHeight="1" x14ac:dyDescent="0.2">
      <c r="A125" s="1" t="s">
        <v>167</v>
      </c>
      <c r="B125" s="1" t="s">
        <v>215</v>
      </c>
      <c r="C125" s="1" t="s">
        <v>217</v>
      </c>
      <c r="D125" s="1" t="s">
        <v>210</v>
      </c>
      <c r="F125" s="13">
        <v>3.75</v>
      </c>
      <c r="G125" s="12">
        <f t="shared" si="26"/>
        <v>3.75</v>
      </c>
      <c r="H125" s="1">
        <v>3.75</v>
      </c>
      <c r="L125" s="1">
        <v>3.75</v>
      </c>
      <c r="R125" s="3"/>
      <c r="V125" s="1">
        <v>3</v>
      </c>
      <c r="W125" s="1" t="s">
        <v>52</v>
      </c>
      <c r="Y125" s="1" t="s">
        <v>15</v>
      </c>
      <c r="Z125" s="1">
        <v>2</v>
      </c>
      <c r="AA125" s="1" t="s">
        <v>216</v>
      </c>
      <c r="AB125" s="1">
        <v>1</v>
      </c>
      <c r="AC125" s="1" t="s">
        <v>218</v>
      </c>
      <c r="AD125" s="5" t="s">
        <v>221</v>
      </c>
      <c r="AE125" s="13" t="s">
        <v>824</v>
      </c>
      <c r="AF125" s="13">
        <v>3.75</v>
      </c>
      <c r="AG125" s="5"/>
      <c r="AI125" s="1">
        <v>3</v>
      </c>
      <c r="AJ125" s="1">
        <v>4.1500000000000004</v>
      </c>
      <c r="AM125" s="2"/>
      <c r="AN125" s="3"/>
      <c r="AP125" s="15">
        <v>500</v>
      </c>
      <c r="AQ125" s="1">
        <v>0.5</v>
      </c>
      <c r="AR125" s="3">
        <v>0.05</v>
      </c>
      <c r="AS125" s="3">
        <v>0.05</v>
      </c>
      <c r="AT125" s="3">
        <f>7+58.7*0.7+0.15*27+0.15*58.9+32</f>
        <v>92.974999999999994</v>
      </c>
      <c r="AU125" s="3">
        <f t="shared" si="65"/>
        <v>0.28826536404648806</v>
      </c>
      <c r="AV125" s="1">
        <v>288</v>
      </c>
      <c r="AW125" s="3">
        <f>AV125*AR125</f>
        <v>14.4</v>
      </c>
      <c r="AX125" s="3">
        <f>AR125*AV125</f>
        <v>14.4</v>
      </c>
      <c r="AY125" s="1">
        <v>151</v>
      </c>
      <c r="AZ125" s="1">
        <v>141</v>
      </c>
      <c r="BA125" s="1">
        <v>133</v>
      </c>
      <c r="BD125" s="1">
        <f t="shared" si="61"/>
        <v>0.88079470198675491</v>
      </c>
      <c r="BE125" s="1">
        <f t="shared" si="66"/>
        <v>0.36</v>
      </c>
      <c r="BG125" s="3"/>
    </row>
    <row r="126" spans="1:59" ht="17.25" customHeight="1" x14ac:dyDescent="0.2">
      <c r="A126" s="4">
        <v>30</v>
      </c>
      <c r="B126" s="4" t="s">
        <v>223</v>
      </c>
      <c r="C126" s="4" t="s">
        <v>219</v>
      </c>
      <c r="D126" s="4" t="s">
        <v>210</v>
      </c>
      <c r="F126" s="12">
        <v>3.8</v>
      </c>
      <c r="G126" s="12">
        <f t="shared" si="26"/>
        <v>3.75</v>
      </c>
      <c r="H126" s="4">
        <v>3.75</v>
      </c>
      <c r="L126" s="4">
        <v>3.75</v>
      </c>
      <c r="P126" s="4" t="s">
        <v>601</v>
      </c>
      <c r="Q126" s="4">
        <f>151/166.4</f>
        <v>0.90745192307692302</v>
      </c>
      <c r="V126" s="4">
        <v>2</v>
      </c>
      <c r="W126" s="4" t="s">
        <v>111</v>
      </c>
      <c r="Y126" s="4" t="s">
        <v>15</v>
      </c>
      <c r="Z126" s="4">
        <v>2</v>
      </c>
      <c r="AA126" s="4" t="s">
        <v>55</v>
      </c>
      <c r="AB126" s="4">
        <v>1</v>
      </c>
      <c r="AC126" s="4" t="s">
        <v>222</v>
      </c>
      <c r="AD126" s="6" t="s">
        <v>220</v>
      </c>
      <c r="AE126" s="12" t="s">
        <v>821</v>
      </c>
      <c r="AF126" s="12">
        <v>3.8</v>
      </c>
      <c r="AG126" s="6"/>
      <c r="AI126" s="4">
        <v>3</v>
      </c>
      <c r="AJ126" s="4">
        <v>4.4000000000000004</v>
      </c>
      <c r="AL126" s="4" t="s">
        <v>31</v>
      </c>
      <c r="AM126" s="10" t="s">
        <v>155</v>
      </c>
      <c r="AS126" s="7">
        <f>AW126/AV126</f>
        <v>0.10380622837370242</v>
      </c>
      <c r="AT126" s="7">
        <f>(1+1/18)*7+58.7*5/12+19/36*54.9+32</f>
        <v>92.822222222222223</v>
      </c>
      <c r="AU126" s="7">
        <f>96485.3/3600/AT126</f>
        <v>0.28873982523342112</v>
      </c>
      <c r="AV126" s="4">
        <v>289</v>
      </c>
      <c r="AW126" s="7">
        <v>30</v>
      </c>
      <c r="AX126" s="7">
        <v>30</v>
      </c>
      <c r="AY126" s="4">
        <v>146</v>
      </c>
      <c r="AZ126" s="4">
        <v>152</v>
      </c>
      <c r="BA126" s="4">
        <v>156</v>
      </c>
      <c r="BB126" s="4">
        <v>141</v>
      </c>
      <c r="BD126" s="4">
        <f t="shared" si="61"/>
        <v>1.0684931506849316</v>
      </c>
      <c r="BE126" s="4">
        <f t="shared" si="66"/>
        <v>-0.2</v>
      </c>
      <c r="BG126" s="7">
        <f>AY126/161</f>
        <v>0.90683229813664601</v>
      </c>
    </row>
    <row r="127" spans="1:59" s="1" customFormat="1" ht="19.5" customHeight="1" x14ac:dyDescent="0.2">
      <c r="A127" s="1">
        <v>30</v>
      </c>
      <c r="B127" s="1" t="s">
        <v>223</v>
      </c>
      <c r="C127" s="1" t="s">
        <v>219</v>
      </c>
      <c r="D127" s="1" t="s">
        <v>210</v>
      </c>
      <c r="F127" s="13">
        <v>3.76</v>
      </c>
      <c r="G127" s="12">
        <f t="shared" si="26"/>
        <v>3.75</v>
      </c>
      <c r="H127" s="1">
        <v>3.75</v>
      </c>
      <c r="L127" s="1">
        <v>3.75</v>
      </c>
      <c r="R127" s="3"/>
      <c r="V127" s="1">
        <v>2</v>
      </c>
      <c r="W127" s="1" t="s">
        <v>111</v>
      </c>
      <c r="Y127" s="1" t="s">
        <v>15</v>
      </c>
      <c r="Z127" s="1">
        <v>2</v>
      </c>
      <c r="AA127" s="1" t="s">
        <v>55</v>
      </c>
      <c r="AB127" s="1">
        <v>1</v>
      </c>
      <c r="AC127" s="1" t="s">
        <v>222</v>
      </c>
      <c r="AD127" s="5" t="s">
        <v>220</v>
      </c>
      <c r="AE127" s="13" t="s">
        <v>821</v>
      </c>
      <c r="AF127" s="13">
        <v>3.76</v>
      </c>
      <c r="AG127" s="5"/>
      <c r="AI127" s="1">
        <v>2</v>
      </c>
      <c r="AJ127" s="1">
        <v>4.5999999999999996</v>
      </c>
      <c r="AL127" s="1" t="s">
        <v>31</v>
      </c>
      <c r="AM127" s="2" t="s">
        <v>155</v>
      </c>
      <c r="AN127" s="3"/>
      <c r="AP127" s="15"/>
      <c r="AR127" s="3"/>
      <c r="AS127" s="3">
        <f>AW127/AV127</f>
        <v>0.10380622837370242</v>
      </c>
      <c r="AT127" s="3">
        <f>(1+1/18)*7+58.7*5/12+19/36*54.9+32</f>
        <v>92.822222222222223</v>
      </c>
      <c r="AU127" s="3">
        <f>96485.3/3600/AT127</f>
        <v>0.28873982523342112</v>
      </c>
      <c r="AV127" s="1">
        <v>289</v>
      </c>
      <c r="AW127" s="3">
        <v>30</v>
      </c>
      <c r="AX127" s="3">
        <v>30</v>
      </c>
      <c r="AY127" s="1">
        <v>234</v>
      </c>
      <c r="AZ127" s="1">
        <v>187</v>
      </c>
      <c r="BA127" s="1">
        <v>177</v>
      </c>
      <c r="BD127" s="1">
        <f t="shared" si="61"/>
        <v>0.75641025641025639</v>
      </c>
      <c r="BE127" s="1">
        <f t="shared" si="66"/>
        <v>1.1399999999999999</v>
      </c>
      <c r="BG127" s="3">
        <f>AY127/258</f>
        <v>0.90697674418604646</v>
      </c>
    </row>
    <row r="128" spans="1:59" ht="17.25" customHeight="1" x14ac:dyDescent="0.2">
      <c r="A128" s="4">
        <v>30</v>
      </c>
      <c r="B128" s="4" t="s">
        <v>224</v>
      </c>
      <c r="C128" s="4" t="s">
        <v>219</v>
      </c>
      <c r="D128" s="4" t="s">
        <v>210</v>
      </c>
      <c r="F128" s="12">
        <v>3.7</v>
      </c>
      <c r="G128" s="12">
        <f t="shared" si="26"/>
        <v>3.75</v>
      </c>
      <c r="H128" s="4">
        <v>3.75</v>
      </c>
      <c r="L128" s="4">
        <v>3.75</v>
      </c>
      <c r="V128" s="4">
        <v>2</v>
      </c>
      <c r="W128" s="4" t="s">
        <v>111</v>
      </c>
      <c r="Y128" s="4" t="s">
        <v>15</v>
      </c>
      <c r="Z128" s="4">
        <v>2</v>
      </c>
      <c r="AA128" s="4" t="s">
        <v>55</v>
      </c>
      <c r="AB128" s="4">
        <v>1</v>
      </c>
      <c r="AC128" s="4" t="s">
        <v>222</v>
      </c>
      <c r="AD128" s="6" t="s">
        <v>220</v>
      </c>
      <c r="AE128" s="12" t="s">
        <v>821</v>
      </c>
      <c r="AF128" s="12">
        <v>3.7</v>
      </c>
      <c r="AG128" s="6"/>
      <c r="AI128" s="4">
        <v>2</v>
      </c>
      <c r="AJ128" s="4">
        <v>4.5999999999999996</v>
      </c>
      <c r="AL128" s="4" t="s">
        <v>31</v>
      </c>
      <c r="AM128" s="10" t="s">
        <v>155</v>
      </c>
      <c r="AS128" s="7">
        <f>AW128/AV128</f>
        <v>0.10752688172043011</v>
      </c>
      <c r="AT128" s="7">
        <f>(1)*7+58.7*0.5+0.5*54.9+32</f>
        <v>95.8</v>
      </c>
      <c r="AU128" s="7">
        <f>96485.3/3600/AT128</f>
        <v>0.27976484574344701</v>
      </c>
      <c r="AV128" s="4">
        <v>279</v>
      </c>
      <c r="AW128" s="7">
        <v>30</v>
      </c>
      <c r="AX128" s="7">
        <v>30</v>
      </c>
      <c r="AY128" s="4">
        <v>207</v>
      </c>
      <c r="AZ128" s="4">
        <v>160</v>
      </c>
      <c r="BA128" s="4">
        <v>153</v>
      </c>
      <c r="BD128" s="4">
        <f t="shared" ref="BD128" si="67">BA128/AY128</f>
        <v>0.73913043478260865</v>
      </c>
      <c r="BE128" s="4">
        <f t="shared" si="66"/>
        <v>1.08</v>
      </c>
      <c r="BG128" s="7">
        <f>AY128/227</f>
        <v>0.91189427312775329</v>
      </c>
    </row>
    <row r="129" spans="1:59" s="1" customFormat="1" ht="19.5" customHeight="1" x14ac:dyDescent="0.2">
      <c r="A129" s="1">
        <v>30</v>
      </c>
      <c r="B129" s="1" t="s">
        <v>226</v>
      </c>
      <c r="C129" s="1" t="s">
        <v>219</v>
      </c>
      <c r="D129" s="1" t="s">
        <v>210</v>
      </c>
      <c r="F129" s="13">
        <v>3.7</v>
      </c>
      <c r="G129" s="12">
        <f t="shared" si="26"/>
        <v>3.75</v>
      </c>
      <c r="H129" s="1">
        <v>3.75</v>
      </c>
      <c r="L129" s="1">
        <v>3.75</v>
      </c>
      <c r="R129" s="3"/>
      <c r="V129" s="1">
        <v>2</v>
      </c>
      <c r="W129" s="1" t="s">
        <v>111</v>
      </c>
      <c r="Y129" s="1" t="s">
        <v>15</v>
      </c>
      <c r="Z129" s="1">
        <v>2</v>
      </c>
      <c r="AA129" s="1" t="s">
        <v>55</v>
      </c>
      <c r="AB129" s="1">
        <v>1</v>
      </c>
      <c r="AC129" s="1" t="s">
        <v>222</v>
      </c>
      <c r="AD129" s="5" t="s">
        <v>220</v>
      </c>
      <c r="AE129" s="13" t="s">
        <v>821</v>
      </c>
      <c r="AF129" s="13">
        <v>3.7</v>
      </c>
      <c r="AG129" s="5"/>
      <c r="AI129" s="1">
        <v>2</v>
      </c>
      <c r="AJ129" s="1">
        <v>4.5999999999999996</v>
      </c>
      <c r="AL129" s="1" t="s">
        <v>31</v>
      </c>
      <c r="AM129" s="2" t="s">
        <v>155</v>
      </c>
      <c r="AN129" s="3"/>
      <c r="AP129" s="15"/>
      <c r="AR129" s="3"/>
      <c r="AS129" s="3">
        <f>AW129/AV129</f>
        <v>0.10067114093959731</v>
      </c>
      <c r="AT129" s="3">
        <f>(1+1/9)*7+58.7*1/3+5/9*54.9+32</f>
        <v>89.844444444444449</v>
      </c>
      <c r="AU129" s="3">
        <f>96485.3/3600/AT129</f>
        <v>0.29830973287162998</v>
      </c>
      <c r="AV129" s="1">
        <v>298</v>
      </c>
      <c r="AW129" s="3">
        <v>30</v>
      </c>
      <c r="AX129" s="3">
        <v>30</v>
      </c>
      <c r="AY129" s="1">
        <v>255</v>
      </c>
      <c r="AZ129" s="1">
        <v>203</v>
      </c>
      <c r="BA129" s="1">
        <v>201</v>
      </c>
      <c r="BD129" s="1">
        <f t="shared" ref="BD129" si="68">BA129/AY129</f>
        <v>0.78823529411764703</v>
      </c>
      <c r="BE129" s="1">
        <f t="shared" si="66"/>
        <v>1.08</v>
      </c>
      <c r="BG129" s="3">
        <f>AY129/279</f>
        <v>0.91397849462365588</v>
      </c>
    </row>
    <row r="130" spans="1:59" ht="17.25" customHeight="1" x14ac:dyDescent="0.2">
      <c r="A130" s="4" t="s">
        <v>167</v>
      </c>
      <c r="B130" s="4" t="s">
        <v>240</v>
      </c>
      <c r="C130" s="4" t="s">
        <v>238</v>
      </c>
      <c r="D130" s="4" t="s">
        <v>205</v>
      </c>
      <c r="F130" s="12">
        <v>3.7</v>
      </c>
      <c r="G130" s="12">
        <f t="shared" si="26"/>
        <v>4</v>
      </c>
      <c r="H130" s="4">
        <v>4</v>
      </c>
      <c r="I130" s="4">
        <v>4.5</v>
      </c>
      <c r="L130" s="4">
        <v>3.5</v>
      </c>
      <c r="P130" s="4" t="s">
        <v>602</v>
      </c>
      <c r="Q130" s="4">
        <f>203/257</f>
        <v>0.78988326848249024</v>
      </c>
      <c r="T130" s="4" t="s">
        <v>242</v>
      </c>
      <c r="V130" s="4">
        <v>2</v>
      </c>
      <c r="W130" s="4" t="s">
        <v>50</v>
      </c>
      <c r="Y130" s="4" t="s">
        <v>15</v>
      </c>
      <c r="Z130" s="4">
        <v>2</v>
      </c>
      <c r="AA130" s="4" t="s">
        <v>239</v>
      </c>
      <c r="AB130" s="4">
        <v>1</v>
      </c>
      <c r="AC130" s="4" t="s">
        <v>236</v>
      </c>
      <c r="AD130" s="6" t="s">
        <v>237</v>
      </c>
      <c r="AE130" s="12" t="s">
        <v>821</v>
      </c>
      <c r="AF130" s="12">
        <v>3.7</v>
      </c>
      <c r="AG130" s="6"/>
      <c r="AI130" s="4">
        <v>2</v>
      </c>
      <c r="AJ130" s="4">
        <v>4.5999999999999996</v>
      </c>
      <c r="AL130" s="4" t="s">
        <v>241</v>
      </c>
      <c r="AM130" s="10"/>
      <c r="AR130" s="7">
        <v>9.0909090909090912E-2</v>
      </c>
      <c r="AS130" s="7">
        <v>9.0909090909090912E-2</v>
      </c>
      <c r="AT130" s="7">
        <f>0.5*((2)*7+54.9+48)+0.5*(58.7*0.44+0.31*54.9+0.25*58.9+32)</f>
        <v>103.236</v>
      </c>
      <c r="AU130" s="7">
        <f>1.5*96485.3/3600/AT130</f>
        <v>0.38942043796091808</v>
      </c>
      <c r="AV130" s="4">
        <v>389</v>
      </c>
      <c r="AW130" s="7">
        <f t="shared" ref="AW130:AW135" si="69">AV130*AR130</f>
        <v>35.363636363636367</v>
      </c>
      <c r="AX130" s="7">
        <f t="shared" ref="AX130:AX135" si="70">AR130*AV130</f>
        <v>35.363636363636367</v>
      </c>
      <c r="AY130" s="4">
        <v>257</v>
      </c>
      <c r="AZ130" s="4">
        <v>256</v>
      </c>
      <c r="BA130" s="4">
        <v>248</v>
      </c>
      <c r="BD130" s="4">
        <f t="shared" ref="BD130:BD135" si="71">BA130/AY130</f>
        <v>0.96498054474708173</v>
      </c>
      <c r="BE130" s="4">
        <f t="shared" ref="BE130:BE137" si="72">(AY130-BA130)/50</f>
        <v>0.18</v>
      </c>
    </row>
    <row r="131" spans="1:59" s="1" customFormat="1" ht="19.5" customHeight="1" x14ac:dyDescent="0.2">
      <c r="A131" s="1" t="s">
        <v>167</v>
      </c>
      <c r="B131" s="1" t="s">
        <v>240</v>
      </c>
      <c r="C131" s="1" t="s">
        <v>238</v>
      </c>
      <c r="D131" s="1" t="s">
        <v>205</v>
      </c>
      <c r="F131" s="13">
        <v>3.4</v>
      </c>
      <c r="G131" s="12" t="e">
        <f t="shared" si="26"/>
        <v>#DIV/0!</v>
      </c>
      <c r="Q131" s="1">
        <f>203/257</f>
        <v>0.78988326848249024</v>
      </c>
      <c r="R131" s="3"/>
      <c r="T131" s="1" t="s">
        <v>242</v>
      </c>
      <c r="V131" s="1">
        <v>2</v>
      </c>
      <c r="W131" s="1" t="s">
        <v>50</v>
      </c>
      <c r="Y131" s="1" t="s">
        <v>15</v>
      </c>
      <c r="Z131" s="1">
        <v>2</v>
      </c>
      <c r="AA131" s="1" t="s">
        <v>239</v>
      </c>
      <c r="AB131" s="1">
        <v>1</v>
      </c>
      <c r="AC131" s="1" t="s">
        <v>236</v>
      </c>
      <c r="AD131" s="5" t="s">
        <v>237</v>
      </c>
      <c r="AE131" s="13" t="s">
        <v>821</v>
      </c>
      <c r="AF131" s="13">
        <v>3.4</v>
      </c>
      <c r="AG131" s="5"/>
      <c r="AI131" s="1">
        <v>2</v>
      </c>
      <c r="AJ131" s="1">
        <v>4.5999999999999996</v>
      </c>
      <c r="AL131" s="1" t="s">
        <v>241</v>
      </c>
      <c r="AM131" s="2"/>
      <c r="AN131" s="3"/>
      <c r="AP131" s="15"/>
      <c r="AR131" s="3">
        <v>1</v>
      </c>
      <c r="AS131" s="3">
        <v>1</v>
      </c>
      <c r="AT131" s="3"/>
      <c r="AU131" s="3"/>
      <c r="AV131" s="1">
        <v>389</v>
      </c>
      <c r="AW131" s="3">
        <f t="shared" si="69"/>
        <v>389</v>
      </c>
      <c r="AX131" s="3">
        <f t="shared" si="70"/>
        <v>389</v>
      </c>
      <c r="AY131" s="1">
        <v>203</v>
      </c>
      <c r="AZ131" s="1">
        <v>196</v>
      </c>
      <c r="BA131" s="1">
        <v>199</v>
      </c>
      <c r="BD131" s="1">
        <f t="shared" si="71"/>
        <v>0.98029556650246308</v>
      </c>
      <c r="BE131" s="1">
        <f t="shared" si="72"/>
        <v>0.08</v>
      </c>
      <c r="BG131" s="3"/>
    </row>
    <row r="132" spans="1:59" ht="17.25" customHeight="1" x14ac:dyDescent="0.2">
      <c r="A132" s="4" t="s">
        <v>167</v>
      </c>
      <c r="B132" s="4" t="s">
        <v>240</v>
      </c>
      <c r="C132" s="4" t="s">
        <v>238</v>
      </c>
      <c r="D132" s="4" t="s">
        <v>205</v>
      </c>
      <c r="F132" s="12"/>
      <c r="G132" s="12" t="e">
        <f t="shared" si="26"/>
        <v>#DIV/0!</v>
      </c>
      <c r="Q132" s="4">
        <f>203/257</f>
        <v>0.78988326848249024</v>
      </c>
      <c r="T132" s="4" t="s">
        <v>242</v>
      </c>
      <c r="V132" s="4">
        <v>2</v>
      </c>
      <c r="W132" s="4" t="s">
        <v>50</v>
      </c>
      <c r="Y132" s="4" t="s">
        <v>15</v>
      </c>
      <c r="Z132" s="4">
        <v>2</v>
      </c>
      <c r="AA132" s="4" t="s">
        <v>239</v>
      </c>
      <c r="AB132" s="4">
        <v>1</v>
      </c>
      <c r="AC132" s="4" t="s">
        <v>236</v>
      </c>
      <c r="AD132" s="6" t="s">
        <v>237</v>
      </c>
      <c r="AE132" s="12" t="s">
        <v>821</v>
      </c>
      <c r="AF132" s="12"/>
      <c r="AG132" s="6"/>
      <c r="AI132" s="4">
        <v>2</v>
      </c>
      <c r="AJ132" s="4">
        <v>4.5999999999999996</v>
      </c>
      <c r="AL132" s="4" t="s">
        <v>241</v>
      </c>
      <c r="AM132" s="10"/>
      <c r="AR132" s="7">
        <v>2.5</v>
      </c>
      <c r="AS132" s="7">
        <v>2.5</v>
      </c>
      <c r="AV132" s="4">
        <v>389</v>
      </c>
      <c r="AW132" s="7">
        <f t="shared" si="69"/>
        <v>972.5</v>
      </c>
      <c r="AX132" s="7">
        <f t="shared" si="70"/>
        <v>972.5</v>
      </c>
      <c r="AY132" s="4">
        <v>177</v>
      </c>
      <c r="AZ132" s="4">
        <v>160</v>
      </c>
      <c r="BA132" s="4">
        <v>156</v>
      </c>
      <c r="BC132" s="4" t="s">
        <v>243</v>
      </c>
      <c r="BD132" s="4">
        <f t="shared" si="71"/>
        <v>0.88135593220338981</v>
      </c>
      <c r="BE132" s="4">
        <f t="shared" si="72"/>
        <v>0.42</v>
      </c>
    </row>
    <row r="133" spans="1:59" s="1" customFormat="1" ht="19.5" customHeight="1" x14ac:dyDescent="0.2">
      <c r="A133" s="1" t="s">
        <v>167</v>
      </c>
      <c r="B133" s="1" t="s">
        <v>240</v>
      </c>
      <c r="C133" s="1" t="s">
        <v>238</v>
      </c>
      <c r="D133" s="1" t="s">
        <v>205</v>
      </c>
      <c r="F133" s="13">
        <v>3.6</v>
      </c>
      <c r="G133" s="12" t="e">
        <f t="shared" si="26"/>
        <v>#DIV/0!</v>
      </c>
      <c r="Q133" s="1">
        <f>172/238.8</f>
        <v>0.72026800670016744</v>
      </c>
      <c r="R133" s="3"/>
      <c r="T133" s="1" t="s">
        <v>245</v>
      </c>
      <c r="V133" s="1">
        <v>2</v>
      </c>
      <c r="W133" s="1" t="s">
        <v>50</v>
      </c>
      <c r="Y133" s="1" t="s">
        <v>15</v>
      </c>
      <c r="Z133" s="1">
        <v>2</v>
      </c>
      <c r="AA133" s="1" t="s">
        <v>239</v>
      </c>
      <c r="AB133" s="1">
        <v>1</v>
      </c>
      <c r="AC133" s="1" t="s">
        <v>236</v>
      </c>
      <c r="AD133" s="5" t="s">
        <v>237</v>
      </c>
      <c r="AE133" s="13" t="s">
        <v>821</v>
      </c>
      <c r="AF133" s="13">
        <v>3.6</v>
      </c>
      <c r="AG133" s="5"/>
      <c r="AI133" s="1">
        <v>2</v>
      </c>
      <c r="AJ133" s="1">
        <v>4.5999999999999996</v>
      </c>
      <c r="AL133" s="1" t="s">
        <v>241</v>
      </c>
      <c r="AM133" s="2"/>
      <c r="AN133" s="3"/>
      <c r="AP133" s="15"/>
      <c r="AR133" s="3">
        <v>6.25E-2</v>
      </c>
      <c r="AS133" s="3">
        <v>6.25E-2</v>
      </c>
      <c r="AT133" s="3"/>
      <c r="AU133" s="3"/>
      <c r="AV133" s="1">
        <v>389</v>
      </c>
      <c r="AW133" s="3">
        <f t="shared" si="69"/>
        <v>24.3125</v>
      </c>
      <c r="AX133" s="3">
        <f t="shared" si="70"/>
        <v>24.3125</v>
      </c>
      <c r="AY133" s="1">
        <v>242</v>
      </c>
      <c r="AZ133" s="1">
        <v>239</v>
      </c>
      <c r="BA133" s="1">
        <v>215</v>
      </c>
      <c r="BC133" s="1" t="s">
        <v>244</v>
      </c>
      <c r="BD133" s="1">
        <f t="shared" si="71"/>
        <v>0.88842975206611574</v>
      </c>
      <c r="BE133" s="1">
        <f t="shared" si="72"/>
        <v>0.54</v>
      </c>
      <c r="BG133" s="3">
        <f>AY133/300</f>
        <v>0.80666666666666664</v>
      </c>
    </row>
    <row r="134" spans="1:59" ht="17.25" customHeight="1" x14ac:dyDescent="0.2">
      <c r="A134" s="4" t="s">
        <v>167</v>
      </c>
      <c r="B134" s="4" t="s">
        <v>5</v>
      </c>
      <c r="C134" s="4" t="s">
        <v>251</v>
      </c>
      <c r="D134" s="4" t="s">
        <v>210</v>
      </c>
      <c r="F134" s="12">
        <v>3.8</v>
      </c>
      <c r="G134" s="12">
        <f t="shared" si="26"/>
        <v>4.1125000000000007</v>
      </c>
      <c r="H134" s="4">
        <v>4.0999999999999996</v>
      </c>
      <c r="I134" s="4">
        <v>4.2</v>
      </c>
      <c r="L134" s="4">
        <v>4</v>
      </c>
      <c r="M134" s="4">
        <v>4.1500000000000004</v>
      </c>
      <c r="T134" s="4" t="s">
        <v>252</v>
      </c>
      <c r="V134" s="4">
        <v>2</v>
      </c>
      <c r="W134" s="4" t="s">
        <v>248</v>
      </c>
      <c r="Y134" s="4" t="s">
        <v>15</v>
      </c>
      <c r="Z134" s="4">
        <v>2</v>
      </c>
      <c r="AA134" s="4" t="s">
        <v>249</v>
      </c>
      <c r="AB134" s="4">
        <v>1</v>
      </c>
      <c r="AC134" s="4" t="s">
        <v>247</v>
      </c>
      <c r="AD134" s="6" t="s">
        <v>246</v>
      </c>
      <c r="AE134" s="12" t="s">
        <v>820</v>
      </c>
      <c r="AF134" s="12">
        <v>3.8</v>
      </c>
      <c r="AG134" s="6"/>
      <c r="AI134" s="4">
        <v>3.3</v>
      </c>
      <c r="AJ134" s="4">
        <v>4.3499999999999996</v>
      </c>
      <c r="AL134" s="4" t="s">
        <v>189</v>
      </c>
      <c r="AM134" s="10" t="s">
        <v>250</v>
      </c>
      <c r="AR134" s="7">
        <v>1</v>
      </c>
      <c r="AS134" s="7">
        <v>1</v>
      </c>
      <c r="AT134" s="7">
        <f>7+2*54.9+64</f>
        <v>180.8</v>
      </c>
      <c r="AU134" s="7">
        <f>96485.3/3600/AT134</f>
        <v>0.14823823131760078</v>
      </c>
      <c r="AV134" s="4">
        <v>148</v>
      </c>
      <c r="AW134" s="7">
        <f t="shared" si="69"/>
        <v>148</v>
      </c>
      <c r="AX134" s="7">
        <f t="shared" si="70"/>
        <v>148</v>
      </c>
      <c r="AY134" s="4">
        <v>107</v>
      </c>
      <c r="AZ134" s="4">
        <v>102</v>
      </c>
      <c r="BA134" s="4">
        <v>98</v>
      </c>
      <c r="BB134" s="4">
        <v>93</v>
      </c>
      <c r="BD134" s="4">
        <f t="shared" si="71"/>
        <v>0.91588785046728971</v>
      </c>
      <c r="BE134" s="4">
        <f t="shared" si="72"/>
        <v>0.18</v>
      </c>
    </row>
    <row r="135" spans="1:59" s="1" customFormat="1" ht="19.5" customHeight="1" x14ac:dyDescent="0.2">
      <c r="A135" s="1" t="s">
        <v>167</v>
      </c>
      <c r="B135" s="1" t="s">
        <v>147</v>
      </c>
      <c r="C135" s="1" t="s">
        <v>251</v>
      </c>
      <c r="D135" s="1" t="s">
        <v>210</v>
      </c>
      <c r="F135" s="13">
        <v>4</v>
      </c>
      <c r="G135" s="12">
        <f t="shared" ref="G135:G198" si="73">AVERAGE(H135:O135)</f>
        <v>4.1125000000000007</v>
      </c>
      <c r="H135" s="1">
        <v>4.0999999999999996</v>
      </c>
      <c r="I135" s="1">
        <v>4.2</v>
      </c>
      <c r="L135" s="1">
        <v>4</v>
      </c>
      <c r="M135" s="1">
        <v>4.1500000000000004</v>
      </c>
      <c r="R135" s="3"/>
      <c r="T135" s="1" t="s">
        <v>252</v>
      </c>
      <c r="V135" s="1">
        <v>2</v>
      </c>
      <c r="W135" s="1" t="s">
        <v>248</v>
      </c>
      <c r="Y135" s="1" t="s">
        <v>15</v>
      </c>
      <c r="Z135" s="1">
        <v>2</v>
      </c>
      <c r="AA135" s="1" t="s">
        <v>249</v>
      </c>
      <c r="AB135" s="1">
        <v>1</v>
      </c>
      <c r="AC135" s="1" t="s">
        <v>247</v>
      </c>
      <c r="AD135" s="5" t="s">
        <v>246</v>
      </c>
      <c r="AE135" s="13" t="s">
        <v>820</v>
      </c>
      <c r="AF135" s="13">
        <v>4</v>
      </c>
      <c r="AG135" s="5"/>
      <c r="AI135" s="1">
        <v>3</v>
      </c>
      <c r="AJ135" s="1">
        <v>4.5</v>
      </c>
      <c r="AL135" s="1" t="s">
        <v>189</v>
      </c>
      <c r="AM135" s="2" t="s">
        <v>250</v>
      </c>
      <c r="AN135" s="3"/>
      <c r="AP135" s="15"/>
      <c r="AR135" s="3">
        <v>1</v>
      </c>
      <c r="AS135" s="3">
        <v>1</v>
      </c>
      <c r="AT135" s="3">
        <f>7+0.1*27+1.9*54.9+64</f>
        <v>178.01</v>
      </c>
      <c r="AU135" s="3">
        <f>96485.3/3600/AT135</f>
        <v>0.15056161014674582</v>
      </c>
      <c r="AV135" s="1">
        <v>150</v>
      </c>
      <c r="AW135" s="3">
        <f t="shared" si="69"/>
        <v>150</v>
      </c>
      <c r="AX135" s="3">
        <f t="shared" si="70"/>
        <v>150</v>
      </c>
      <c r="AY135" s="1">
        <v>93</v>
      </c>
      <c r="AZ135" s="1">
        <v>95</v>
      </c>
      <c r="BA135" s="1">
        <v>93</v>
      </c>
      <c r="BB135" s="1">
        <v>93</v>
      </c>
      <c r="BD135" s="1">
        <f t="shared" si="71"/>
        <v>1</v>
      </c>
      <c r="BE135" s="1">
        <f t="shared" si="72"/>
        <v>0</v>
      </c>
      <c r="BG135" s="3"/>
    </row>
    <row r="136" spans="1:59" ht="17.25" customHeight="1" x14ac:dyDescent="0.2">
      <c r="A136" s="4">
        <v>55</v>
      </c>
      <c r="B136" s="4" t="s">
        <v>147</v>
      </c>
      <c r="C136" s="4" t="s">
        <v>251</v>
      </c>
      <c r="D136" s="4" t="s">
        <v>210</v>
      </c>
      <c r="F136" s="12"/>
      <c r="G136" s="12" t="e">
        <f t="shared" si="73"/>
        <v>#DIV/0!</v>
      </c>
      <c r="T136" s="4" t="s">
        <v>252</v>
      </c>
      <c r="V136" s="4">
        <v>2</v>
      </c>
      <c r="W136" s="4" t="s">
        <v>248</v>
      </c>
      <c r="Y136" s="4" t="s">
        <v>15</v>
      </c>
      <c r="Z136" s="4">
        <v>2</v>
      </c>
      <c r="AA136" s="4" t="s">
        <v>249</v>
      </c>
      <c r="AB136" s="4">
        <v>1</v>
      </c>
      <c r="AC136" s="4" t="s">
        <v>247</v>
      </c>
      <c r="AD136" s="6" t="s">
        <v>246</v>
      </c>
      <c r="AE136" s="12" t="s">
        <v>820</v>
      </c>
      <c r="AF136" s="12"/>
      <c r="AG136" s="6"/>
      <c r="AI136" s="4">
        <v>3</v>
      </c>
      <c r="AJ136" s="4">
        <v>4.5</v>
      </c>
      <c r="AL136" s="4" t="s">
        <v>189</v>
      </c>
      <c r="AM136" s="10" t="s">
        <v>250</v>
      </c>
      <c r="AR136" s="7">
        <v>1</v>
      </c>
      <c r="AS136" s="7">
        <v>1</v>
      </c>
      <c r="AT136" s="7">
        <f>7+0.1*27+1.9*54.9+64</f>
        <v>178.01</v>
      </c>
      <c r="AU136" s="7">
        <f>96485.3/3600/AT136</f>
        <v>0.15056161014674582</v>
      </c>
      <c r="AV136" s="4">
        <v>150</v>
      </c>
      <c r="AW136" s="7">
        <f t="shared" ref="AW136:AW144" si="74">AV136*AR136</f>
        <v>150</v>
      </c>
      <c r="AX136" s="7">
        <f t="shared" ref="AX136:AX144" si="75">AR136*AV136</f>
        <v>150</v>
      </c>
      <c r="AY136" s="4">
        <v>97</v>
      </c>
      <c r="AZ136" s="4">
        <v>96</v>
      </c>
      <c r="BA136" s="4">
        <v>94</v>
      </c>
      <c r="BB136" s="4">
        <v>92</v>
      </c>
      <c r="BD136" s="4">
        <f t="shared" ref="BD136:BD137" si="76">BA136/AY136</f>
        <v>0.96907216494845361</v>
      </c>
      <c r="BE136" s="4">
        <f t="shared" si="72"/>
        <v>0.06</v>
      </c>
    </row>
    <row r="137" spans="1:59" s="1" customFormat="1" ht="19.5" customHeight="1" x14ac:dyDescent="0.2">
      <c r="A137" s="1" t="s">
        <v>167</v>
      </c>
      <c r="B137" s="1" t="s">
        <v>253</v>
      </c>
      <c r="C137" s="1" t="s">
        <v>254</v>
      </c>
      <c r="D137" s="1" t="s">
        <v>210</v>
      </c>
      <c r="F137" s="13">
        <v>3.9</v>
      </c>
      <c r="G137" s="12">
        <f t="shared" si="73"/>
        <v>3.75</v>
      </c>
      <c r="L137" s="1">
        <v>3.75</v>
      </c>
      <c r="R137" s="3"/>
      <c r="V137" s="1">
        <v>2</v>
      </c>
      <c r="W137" s="1" t="s">
        <v>164</v>
      </c>
      <c r="Y137" s="1" t="s">
        <v>15</v>
      </c>
      <c r="Z137" s="1">
        <v>2</v>
      </c>
      <c r="AA137" s="1" t="s">
        <v>256</v>
      </c>
      <c r="AB137" s="1">
        <v>1</v>
      </c>
      <c r="AC137" s="1" t="s">
        <v>258</v>
      </c>
      <c r="AD137" s="5" t="s">
        <v>259</v>
      </c>
      <c r="AE137" s="13" t="s">
        <v>825</v>
      </c>
      <c r="AF137" s="13">
        <v>3.9</v>
      </c>
      <c r="AG137" s="5"/>
      <c r="AI137" s="1">
        <v>2.5</v>
      </c>
      <c r="AJ137" s="1">
        <v>4.4000000000000004</v>
      </c>
      <c r="AL137" s="1" t="s">
        <v>255</v>
      </c>
      <c r="AM137" s="2" t="s">
        <v>257</v>
      </c>
      <c r="AN137" s="3"/>
      <c r="AP137" s="15">
        <v>500</v>
      </c>
      <c r="AR137" s="3">
        <v>0.1</v>
      </c>
      <c r="AS137" s="3">
        <v>0.1</v>
      </c>
      <c r="AT137" s="3"/>
      <c r="AU137" s="3"/>
      <c r="AV137" s="1">
        <v>278</v>
      </c>
      <c r="AW137" s="3">
        <f t="shared" si="74"/>
        <v>27.8</v>
      </c>
      <c r="AX137" s="3">
        <f t="shared" si="75"/>
        <v>27.8</v>
      </c>
      <c r="AY137" s="1">
        <v>164</v>
      </c>
      <c r="AZ137" s="1">
        <v>156</v>
      </c>
      <c r="BA137" s="1">
        <v>145</v>
      </c>
      <c r="BD137" s="1">
        <f t="shared" si="76"/>
        <v>0.88414634146341464</v>
      </c>
      <c r="BE137" s="1">
        <f t="shared" si="72"/>
        <v>0.38</v>
      </c>
      <c r="BG137" s="3">
        <f>(178-13.8)/178</f>
        <v>0.92247191011235952</v>
      </c>
    </row>
    <row r="138" spans="1:59" ht="17.25" customHeight="1" x14ac:dyDescent="0.2">
      <c r="A138" s="4" t="s">
        <v>167</v>
      </c>
      <c r="B138" s="4" t="s">
        <v>253</v>
      </c>
      <c r="C138" s="4" t="s">
        <v>254</v>
      </c>
      <c r="D138" s="4" t="s">
        <v>210</v>
      </c>
      <c r="F138" s="12">
        <v>3.9</v>
      </c>
      <c r="G138" s="12" t="e">
        <f t="shared" si="73"/>
        <v>#DIV/0!</v>
      </c>
      <c r="V138" s="4">
        <v>2</v>
      </c>
      <c r="W138" s="4" t="s">
        <v>164</v>
      </c>
      <c r="Y138" s="4" t="s">
        <v>15</v>
      </c>
      <c r="Z138" s="4">
        <v>2</v>
      </c>
      <c r="AA138" s="4" t="s">
        <v>256</v>
      </c>
      <c r="AB138" s="4">
        <v>1</v>
      </c>
      <c r="AC138" s="4" t="s">
        <v>258</v>
      </c>
      <c r="AD138" s="6" t="s">
        <v>259</v>
      </c>
      <c r="AE138" s="12" t="s">
        <v>825</v>
      </c>
      <c r="AF138" s="12">
        <v>3.9</v>
      </c>
      <c r="AG138" s="6"/>
      <c r="AI138" s="4">
        <v>2.5</v>
      </c>
      <c r="AJ138" s="4">
        <v>4.5999999999999996</v>
      </c>
      <c r="AL138" s="4" t="s">
        <v>255</v>
      </c>
      <c r="AM138" s="10" t="s">
        <v>257</v>
      </c>
      <c r="AP138" s="15">
        <v>500</v>
      </c>
      <c r="AR138" s="7">
        <v>0.1</v>
      </c>
      <c r="AS138" s="7">
        <v>0.1</v>
      </c>
      <c r="AV138" s="4">
        <v>278</v>
      </c>
      <c r="AW138" s="7">
        <f t="shared" si="74"/>
        <v>27.8</v>
      </c>
      <c r="AX138" s="7">
        <f t="shared" si="75"/>
        <v>27.8</v>
      </c>
      <c r="AY138" s="4">
        <v>188</v>
      </c>
      <c r="AZ138" s="4">
        <v>137</v>
      </c>
      <c r="BA138" s="4">
        <v>107</v>
      </c>
      <c r="BD138" s="4">
        <f t="shared" ref="BD138:BD140" si="77">BA138/AY138</f>
        <v>0.56914893617021278</v>
      </c>
      <c r="BE138" s="4">
        <f t="shared" ref="BE138:BE140" si="78">(AY138-BA138)/50</f>
        <v>1.62</v>
      </c>
      <c r="BG138" s="7">
        <f>(209-20.7)/209</f>
        <v>0.90095693779904307</v>
      </c>
    </row>
    <row r="139" spans="1:59" s="1" customFormat="1" ht="19.5" customHeight="1" x14ac:dyDescent="0.2">
      <c r="A139" s="1" t="s">
        <v>167</v>
      </c>
      <c r="B139" s="1" t="s">
        <v>253</v>
      </c>
      <c r="C139" s="1" t="s">
        <v>254</v>
      </c>
      <c r="D139" s="1" t="s">
        <v>210</v>
      </c>
      <c r="F139" s="13">
        <v>3.8</v>
      </c>
      <c r="G139" s="12" t="e">
        <f t="shared" si="73"/>
        <v>#DIV/0!</v>
      </c>
      <c r="R139" s="3"/>
      <c r="V139" s="1">
        <v>2</v>
      </c>
      <c r="W139" s="1" t="s">
        <v>164</v>
      </c>
      <c r="Y139" s="1" t="s">
        <v>15</v>
      </c>
      <c r="Z139" s="1">
        <v>2</v>
      </c>
      <c r="AA139" s="1" t="s">
        <v>256</v>
      </c>
      <c r="AB139" s="1">
        <v>1</v>
      </c>
      <c r="AC139" s="1" t="s">
        <v>258</v>
      </c>
      <c r="AD139" s="5" t="s">
        <v>259</v>
      </c>
      <c r="AE139" s="13" t="s">
        <v>825</v>
      </c>
      <c r="AF139" s="13">
        <v>3.8</v>
      </c>
      <c r="AG139" s="5"/>
      <c r="AI139" s="1">
        <v>2.5</v>
      </c>
      <c r="AJ139" s="1">
        <v>4.7</v>
      </c>
      <c r="AL139" s="1" t="s">
        <v>255</v>
      </c>
      <c r="AM139" s="2" t="s">
        <v>257</v>
      </c>
      <c r="AN139" s="3"/>
      <c r="AP139" s="15">
        <v>500</v>
      </c>
      <c r="AR139" s="3">
        <v>0.1</v>
      </c>
      <c r="AS139" s="3">
        <v>0.1</v>
      </c>
      <c r="AT139" s="3"/>
      <c r="AU139" s="3"/>
      <c r="AV139" s="1">
        <v>278</v>
      </c>
      <c r="AW139" s="3">
        <f t="shared" si="74"/>
        <v>27.8</v>
      </c>
      <c r="AX139" s="3">
        <f t="shared" si="75"/>
        <v>27.8</v>
      </c>
      <c r="AY139" s="1">
        <v>206</v>
      </c>
      <c r="AZ139" s="1">
        <v>95</v>
      </c>
      <c r="BA139" s="1">
        <v>57</v>
      </c>
      <c r="BD139" s="1">
        <f t="shared" si="77"/>
        <v>0.27669902912621358</v>
      </c>
      <c r="BE139" s="1">
        <f t="shared" si="78"/>
        <v>2.98</v>
      </c>
      <c r="BG139" s="3">
        <f>(231-24.7)/231</f>
        <v>0.89307359307359313</v>
      </c>
    </row>
    <row r="140" spans="1:59" ht="17.25" customHeight="1" x14ac:dyDescent="0.2">
      <c r="A140" s="4" t="s">
        <v>167</v>
      </c>
      <c r="B140" s="4" t="s">
        <v>253</v>
      </c>
      <c r="C140" s="4" t="s">
        <v>254</v>
      </c>
      <c r="D140" s="4" t="s">
        <v>210</v>
      </c>
      <c r="F140" s="12">
        <v>3.8</v>
      </c>
      <c r="G140" s="12" t="e">
        <f t="shared" si="73"/>
        <v>#DIV/0!</v>
      </c>
      <c r="V140" s="4">
        <v>2</v>
      </c>
      <c r="W140" s="4" t="s">
        <v>164</v>
      </c>
      <c r="Y140" s="4" t="s">
        <v>15</v>
      </c>
      <c r="Z140" s="4">
        <v>2</v>
      </c>
      <c r="AA140" s="4" t="s">
        <v>256</v>
      </c>
      <c r="AB140" s="4">
        <v>1</v>
      </c>
      <c r="AC140" s="4" t="s">
        <v>258</v>
      </c>
      <c r="AD140" s="6" t="s">
        <v>259</v>
      </c>
      <c r="AE140" s="12" t="s">
        <v>825</v>
      </c>
      <c r="AF140" s="12">
        <v>3.8</v>
      </c>
      <c r="AG140" s="6"/>
      <c r="AI140" s="4">
        <v>2.5</v>
      </c>
      <c r="AJ140" s="4">
        <v>4.8</v>
      </c>
      <c r="AL140" s="4" t="s">
        <v>255</v>
      </c>
      <c r="AM140" s="10" t="s">
        <v>257</v>
      </c>
      <c r="AP140" s="15">
        <v>500</v>
      </c>
      <c r="AR140" s="7">
        <v>0.1</v>
      </c>
      <c r="AS140" s="7">
        <v>0.1</v>
      </c>
      <c r="AV140" s="4">
        <v>278</v>
      </c>
      <c r="AW140" s="7">
        <f t="shared" si="74"/>
        <v>27.8</v>
      </c>
      <c r="AX140" s="7">
        <f t="shared" si="75"/>
        <v>27.8</v>
      </c>
      <c r="AY140" s="4">
        <v>228</v>
      </c>
      <c r="AZ140" s="4">
        <v>67</v>
      </c>
      <c r="BA140" s="4">
        <v>34</v>
      </c>
      <c r="BD140" s="4">
        <f t="shared" si="77"/>
        <v>0.14912280701754385</v>
      </c>
      <c r="BE140" s="4">
        <f t="shared" si="78"/>
        <v>3.88</v>
      </c>
      <c r="BG140" s="7">
        <f>(253-25.1)/253</f>
        <v>0.90079051383399211</v>
      </c>
    </row>
    <row r="141" spans="1:59" s="1" customFormat="1" ht="19.5" customHeight="1" x14ac:dyDescent="0.2">
      <c r="A141" s="1" t="s">
        <v>167</v>
      </c>
      <c r="B141" s="1" t="s">
        <v>261</v>
      </c>
      <c r="D141" s="1" t="s">
        <v>210</v>
      </c>
      <c r="F141" s="13">
        <v>4.66</v>
      </c>
      <c r="G141" s="12">
        <f t="shared" si="73"/>
        <v>4.7</v>
      </c>
      <c r="L141" s="1">
        <v>4.7</v>
      </c>
      <c r="P141" s="1" t="s">
        <v>598</v>
      </c>
      <c r="Q141" s="1">
        <v>0.93</v>
      </c>
      <c r="R141" s="3">
        <v>0.39</v>
      </c>
      <c r="T141" s="1" t="s">
        <v>266</v>
      </c>
      <c r="V141" s="1">
        <v>2</v>
      </c>
      <c r="W141" s="1" t="s">
        <v>265</v>
      </c>
      <c r="Y141" s="1" t="s">
        <v>15</v>
      </c>
      <c r="Z141" s="1">
        <v>2</v>
      </c>
      <c r="AA141" s="1" t="s">
        <v>256</v>
      </c>
      <c r="AB141" s="1">
        <v>1</v>
      </c>
      <c r="AC141" s="1" t="s">
        <v>262</v>
      </c>
      <c r="AD141" s="5" t="s">
        <v>263</v>
      </c>
      <c r="AE141" s="13" t="s">
        <v>820</v>
      </c>
      <c r="AF141" s="13">
        <v>4.66</v>
      </c>
      <c r="AG141" s="5"/>
      <c r="AI141" s="1">
        <v>3.5</v>
      </c>
      <c r="AJ141" s="1">
        <v>5</v>
      </c>
      <c r="AL141" s="1" t="s">
        <v>264</v>
      </c>
      <c r="AM141" s="2"/>
      <c r="AN141" s="3"/>
      <c r="AP141" s="15">
        <v>1000</v>
      </c>
      <c r="AR141" s="3">
        <v>0.3</v>
      </c>
      <c r="AS141" s="3">
        <v>0.3</v>
      </c>
      <c r="AT141" s="3">
        <f>(1)*7+58.7*0.5+1.5*54.9+64</f>
        <v>182.7</v>
      </c>
      <c r="AU141" s="3">
        <f>96485.3/3600/AT141</f>
        <v>0.146696618621906</v>
      </c>
      <c r="AV141" s="1">
        <v>147</v>
      </c>
      <c r="AW141" s="3">
        <f t="shared" si="74"/>
        <v>44.1</v>
      </c>
      <c r="AX141" s="3">
        <f t="shared" si="75"/>
        <v>44.1</v>
      </c>
      <c r="AY141" s="1">
        <v>94</v>
      </c>
      <c r="AZ141" s="1">
        <v>98</v>
      </c>
      <c r="BA141" s="1">
        <v>96</v>
      </c>
      <c r="BB141" s="1">
        <v>94</v>
      </c>
      <c r="BD141" s="1">
        <f t="shared" ref="BD141:BD147" si="79">BA141/AY141</f>
        <v>1.0212765957446808</v>
      </c>
      <c r="BE141" s="1">
        <f t="shared" ref="BE141:BE147" si="80">(AY141-BA141)/50</f>
        <v>-0.04</v>
      </c>
      <c r="BG141" s="3"/>
    </row>
    <row r="142" spans="1:59" ht="17.25" customHeight="1" x14ac:dyDescent="0.2">
      <c r="A142" s="4" t="s">
        <v>167</v>
      </c>
      <c r="B142" s="4" t="s">
        <v>261</v>
      </c>
      <c r="D142" s="4" t="s">
        <v>210</v>
      </c>
      <c r="F142" s="12">
        <v>4.67</v>
      </c>
      <c r="G142" s="12">
        <f t="shared" si="73"/>
        <v>4.7</v>
      </c>
      <c r="L142" s="4">
        <v>4.7</v>
      </c>
      <c r="Q142" s="4">
        <v>0.98</v>
      </c>
      <c r="R142" s="7">
        <v>0.83</v>
      </c>
      <c r="T142" s="4" t="s">
        <v>267</v>
      </c>
      <c r="V142" s="4">
        <v>2</v>
      </c>
      <c r="W142" s="4" t="s">
        <v>265</v>
      </c>
      <c r="Y142" s="4" t="s">
        <v>15</v>
      </c>
      <c r="Z142" s="4">
        <v>2</v>
      </c>
      <c r="AA142" s="4" t="s">
        <v>256</v>
      </c>
      <c r="AB142" s="4">
        <v>1</v>
      </c>
      <c r="AC142" s="4" t="s">
        <v>262</v>
      </c>
      <c r="AD142" s="6" t="s">
        <v>263</v>
      </c>
      <c r="AE142" s="12" t="s">
        <v>820</v>
      </c>
      <c r="AF142" s="12">
        <v>4.67</v>
      </c>
      <c r="AG142" s="6"/>
      <c r="AI142" s="4">
        <v>3.5</v>
      </c>
      <c r="AJ142" s="4">
        <v>5</v>
      </c>
      <c r="AL142" s="4" t="s">
        <v>264</v>
      </c>
      <c r="AM142" s="10"/>
      <c r="AP142" s="15">
        <v>50</v>
      </c>
      <c r="AQ142" s="4">
        <v>0.08</v>
      </c>
      <c r="AR142" s="7">
        <v>0.3</v>
      </c>
      <c r="AS142" s="7">
        <v>0.3</v>
      </c>
      <c r="AV142" s="4">
        <v>147</v>
      </c>
      <c r="AW142" s="7">
        <f t="shared" si="74"/>
        <v>44.1</v>
      </c>
      <c r="AX142" s="7">
        <f t="shared" si="75"/>
        <v>44.1</v>
      </c>
      <c r="AY142" s="4">
        <v>123</v>
      </c>
      <c r="AZ142" s="4">
        <v>110</v>
      </c>
      <c r="BA142" s="4">
        <v>107</v>
      </c>
      <c r="BB142" s="4">
        <v>102</v>
      </c>
      <c r="BC142" s="4" t="s">
        <v>268</v>
      </c>
      <c r="BD142" s="4">
        <f t="shared" si="79"/>
        <v>0.86991869918699183</v>
      </c>
      <c r="BE142" s="4">
        <f t="shared" si="80"/>
        <v>0.32</v>
      </c>
    </row>
    <row r="143" spans="1:59" s="1" customFormat="1" ht="19.5" customHeight="1" x14ac:dyDescent="0.2">
      <c r="A143" s="1" t="s">
        <v>167</v>
      </c>
      <c r="B143" s="1" t="s">
        <v>261</v>
      </c>
      <c r="D143" s="1" t="s">
        <v>210</v>
      </c>
      <c r="F143" s="13">
        <v>4.67</v>
      </c>
      <c r="G143" s="12">
        <f t="shared" si="73"/>
        <v>4.7</v>
      </c>
      <c r="L143" s="1">
        <v>4.7</v>
      </c>
      <c r="Q143" s="1">
        <v>0.98</v>
      </c>
      <c r="R143" s="3">
        <v>0.94</v>
      </c>
      <c r="T143" s="1" t="s">
        <v>269</v>
      </c>
      <c r="V143" s="1">
        <v>2</v>
      </c>
      <c r="W143" s="1" t="s">
        <v>265</v>
      </c>
      <c r="Y143" s="1" t="s">
        <v>15</v>
      </c>
      <c r="Z143" s="1">
        <v>2</v>
      </c>
      <c r="AA143" s="1" t="s">
        <v>256</v>
      </c>
      <c r="AB143" s="1">
        <v>1</v>
      </c>
      <c r="AC143" s="1" t="s">
        <v>262</v>
      </c>
      <c r="AD143" s="5" t="s">
        <v>263</v>
      </c>
      <c r="AE143" s="13" t="s">
        <v>820</v>
      </c>
      <c r="AF143" s="13">
        <v>4.67</v>
      </c>
      <c r="AG143" s="5"/>
      <c r="AI143" s="1">
        <v>3.5</v>
      </c>
      <c r="AJ143" s="1">
        <v>5</v>
      </c>
      <c r="AL143" s="1" t="s">
        <v>264</v>
      </c>
      <c r="AM143" s="2"/>
      <c r="AN143" s="3"/>
      <c r="AP143" s="15">
        <v>50</v>
      </c>
      <c r="AQ143" s="1">
        <v>0.08</v>
      </c>
      <c r="AR143" s="3">
        <v>0.3</v>
      </c>
      <c r="AS143" s="3">
        <v>0.3</v>
      </c>
      <c r="AT143" s="3"/>
      <c r="AU143" s="3"/>
      <c r="AV143" s="1">
        <v>147</v>
      </c>
      <c r="AW143" s="3">
        <f t="shared" si="74"/>
        <v>44.1</v>
      </c>
      <c r="AX143" s="3">
        <f t="shared" si="75"/>
        <v>44.1</v>
      </c>
      <c r="AY143" s="1">
        <v>132</v>
      </c>
      <c r="AZ143" s="1">
        <v>129</v>
      </c>
      <c r="BA143" s="1">
        <v>127</v>
      </c>
      <c r="BB143" s="1">
        <v>124</v>
      </c>
      <c r="BC143" s="1" t="s">
        <v>268</v>
      </c>
      <c r="BD143" s="1">
        <f t="shared" si="79"/>
        <v>0.96212121212121215</v>
      </c>
      <c r="BE143" s="1">
        <f t="shared" si="80"/>
        <v>0.1</v>
      </c>
      <c r="BG143" s="3"/>
    </row>
    <row r="144" spans="1:59" ht="17.25" customHeight="1" x14ac:dyDescent="0.2">
      <c r="A144" s="4" t="s">
        <v>167</v>
      </c>
      <c r="B144" s="4" t="s">
        <v>261</v>
      </c>
      <c r="D144" s="4" t="s">
        <v>210</v>
      </c>
      <c r="F144" s="12">
        <v>4.67</v>
      </c>
      <c r="G144" s="12">
        <f t="shared" si="73"/>
        <v>4.7</v>
      </c>
      <c r="L144" s="4">
        <v>4.7</v>
      </c>
      <c r="Q144" s="4">
        <v>0.98</v>
      </c>
      <c r="R144" s="7">
        <v>0.82</v>
      </c>
      <c r="T144" s="4" t="s">
        <v>270</v>
      </c>
      <c r="V144" s="4">
        <v>2</v>
      </c>
      <c r="W144" s="4" t="s">
        <v>265</v>
      </c>
      <c r="Y144" s="4" t="s">
        <v>15</v>
      </c>
      <c r="Z144" s="4">
        <v>2</v>
      </c>
      <c r="AA144" s="4" t="s">
        <v>256</v>
      </c>
      <c r="AB144" s="4">
        <v>1</v>
      </c>
      <c r="AC144" s="4" t="s">
        <v>262</v>
      </c>
      <c r="AD144" s="6" t="s">
        <v>273</v>
      </c>
      <c r="AE144" s="12" t="s">
        <v>820</v>
      </c>
      <c r="AF144" s="12">
        <v>4.67</v>
      </c>
      <c r="AG144" s="6"/>
      <c r="AI144" s="4">
        <v>3.5</v>
      </c>
      <c r="AJ144" s="4">
        <v>5</v>
      </c>
      <c r="AL144" s="4" t="s">
        <v>264</v>
      </c>
      <c r="AM144" s="10"/>
      <c r="AP144" s="15">
        <v>50</v>
      </c>
      <c r="AQ144" s="4">
        <v>0.08</v>
      </c>
      <c r="AR144" s="7">
        <v>0.3</v>
      </c>
      <c r="AS144" s="7">
        <v>0.3</v>
      </c>
      <c r="AV144" s="4">
        <v>147</v>
      </c>
      <c r="AW144" s="7">
        <f t="shared" si="74"/>
        <v>44.1</v>
      </c>
      <c r="AX144" s="7">
        <f t="shared" si="75"/>
        <v>44.1</v>
      </c>
      <c r="AY144" s="4">
        <v>137</v>
      </c>
      <c r="AZ144" s="4">
        <v>132</v>
      </c>
      <c r="BA144" s="4">
        <v>130</v>
      </c>
      <c r="BB144" s="4">
        <v>126</v>
      </c>
      <c r="BC144" s="4" t="s">
        <v>268</v>
      </c>
      <c r="BD144" s="4">
        <f t="shared" si="79"/>
        <v>0.94890510948905105</v>
      </c>
      <c r="BE144" s="4">
        <f t="shared" si="80"/>
        <v>0.14000000000000001</v>
      </c>
    </row>
    <row r="145" spans="1:59" s="1" customFormat="1" ht="19.5" customHeight="1" x14ac:dyDescent="0.2">
      <c r="A145" s="1">
        <v>30</v>
      </c>
      <c r="B145" s="1" t="s">
        <v>271</v>
      </c>
      <c r="C145" s="1" t="s">
        <v>278</v>
      </c>
      <c r="D145" s="1" t="s">
        <v>210</v>
      </c>
      <c r="F145" s="13"/>
      <c r="G145" s="12">
        <f t="shared" si="73"/>
        <v>4.5999999999999996</v>
      </c>
      <c r="L145" s="1">
        <v>4.5999999999999996</v>
      </c>
      <c r="P145" s="1" t="s">
        <v>603</v>
      </c>
      <c r="R145" s="3">
        <f>100/105</f>
        <v>0.95238095238095233</v>
      </c>
      <c r="T145" s="1" t="s">
        <v>280</v>
      </c>
      <c r="U145" s="1" t="s">
        <v>283</v>
      </c>
      <c r="V145" s="1">
        <v>2</v>
      </c>
      <c r="W145" s="1" t="s">
        <v>279</v>
      </c>
      <c r="Y145" s="1" t="s">
        <v>15</v>
      </c>
      <c r="Z145" s="1">
        <v>2</v>
      </c>
      <c r="AA145" s="1" t="s">
        <v>249</v>
      </c>
      <c r="AB145" s="1">
        <v>1</v>
      </c>
      <c r="AC145" s="1" t="s">
        <v>274</v>
      </c>
      <c r="AD145" s="5" t="s">
        <v>272</v>
      </c>
      <c r="AE145" s="13" t="s">
        <v>820</v>
      </c>
      <c r="AF145" s="13"/>
      <c r="AG145" s="5"/>
      <c r="AI145" s="1">
        <v>3.5</v>
      </c>
      <c r="AJ145" s="1">
        <v>5</v>
      </c>
      <c r="AL145" s="1" t="s">
        <v>277</v>
      </c>
      <c r="AM145" s="2"/>
      <c r="AN145" s="3"/>
      <c r="AP145" s="15">
        <v>50</v>
      </c>
      <c r="AR145" s="3">
        <v>1</v>
      </c>
      <c r="AS145" s="3">
        <v>1</v>
      </c>
      <c r="AT145" s="3"/>
      <c r="AU145" s="3"/>
      <c r="AV145" s="1">
        <v>147</v>
      </c>
      <c r="AW145" s="3">
        <v>150</v>
      </c>
      <c r="AX145" s="3">
        <v>150</v>
      </c>
      <c r="AY145" s="1">
        <v>105</v>
      </c>
      <c r="AZ145" s="1">
        <v>98</v>
      </c>
      <c r="BA145" s="1">
        <v>96</v>
      </c>
      <c r="BB145" s="1">
        <v>93</v>
      </c>
      <c r="BC145" s="1" t="s">
        <v>281</v>
      </c>
      <c r="BD145" s="1">
        <f t="shared" si="79"/>
        <v>0.91428571428571426</v>
      </c>
      <c r="BE145" s="1">
        <f t="shared" si="80"/>
        <v>0.18</v>
      </c>
      <c r="BG145" s="3"/>
    </row>
    <row r="146" spans="1:59" ht="17.25" customHeight="1" x14ac:dyDescent="0.2">
      <c r="A146" s="4">
        <v>50</v>
      </c>
      <c r="B146" s="4" t="s">
        <v>271</v>
      </c>
      <c r="C146" s="4" t="s">
        <v>278</v>
      </c>
      <c r="D146" s="4" t="s">
        <v>210</v>
      </c>
      <c r="F146" s="12"/>
      <c r="G146" s="12">
        <f t="shared" si="73"/>
        <v>4.5999999999999996</v>
      </c>
      <c r="L146" s="4">
        <v>4.5999999999999996</v>
      </c>
      <c r="T146" s="4" t="s">
        <v>280</v>
      </c>
      <c r="U146" s="4" t="s">
        <v>283</v>
      </c>
      <c r="V146" s="4">
        <v>2</v>
      </c>
      <c r="W146" s="4" t="s">
        <v>279</v>
      </c>
      <c r="Y146" s="4" t="s">
        <v>15</v>
      </c>
      <c r="Z146" s="4">
        <v>2</v>
      </c>
      <c r="AA146" s="4" t="s">
        <v>249</v>
      </c>
      <c r="AB146" s="4">
        <v>1</v>
      </c>
      <c r="AC146" s="4" t="s">
        <v>274</v>
      </c>
      <c r="AD146" s="6" t="s">
        <v>272</v>
      </c>
      <c r="AE146" s="12" t="s">
        <v>820</v>
      </c>
      <c r="AF146" s="12"/>
      <c r="AG146" s="6"/>
      <c r="AI146" s="4">
        <v>3.5</v>
      </c>
      <c r="AJ146" s="4">
        <v>5</v>
      </c>
      <c r="AL146" s="4" t="s">
        <v>277</v>
      </c>
      <c r="AM146" s="10"/>
      <c r="AP146" s="15">
        <v>50</v>
      </c>
      <c r="AR146" s="7">
        <v>1</v>
      </c>
      <c r="AS146" s="7">
        <v>1</v>
      </c>
      <c r="AV146" s="4">
        <v>147</v>
      </c>
      <c r="AW146" s="7">
        <v>150</v>
      </c>
      <c r="AX146" s="7">
        <v>150</v>
      </c>
      <c r="AY146" s="4">
        <v>109</v>
      </c>
      <c r="AZ146" s="4">
        <v>101</v>
      </c>
      <c r="BA146" s="4">
        <v>98</v>
      </c>
      <c r="BB146" s="4">
        <v>94</v>
      </c>
      <c r="BC146" s="4" t="s">
        <v>281</v>
      </c>
      <c r="BD146" s="4">
        <f t="shared" si="79"/>
        <v>0.8990825688073395</v>
      </c>
      <c r="BE146" s="4">
        <f t="shared" si="80"/>
        <v>0.22</v>
      </c>
    </row>
    <row r="147" spans="1:59" s="1" customFormat="1" ht="19.5" customHeight="1" x14ac:dyDescent="0.2">
      <c r="A147" s="1">
        <v>30</v>
      </c>
      <c r="B147" s="1" t="s">
        <v>271</v>
      </c>
      <c r="C147" s="1" t="s">
        <v>278</v>
      </c>
      <c r="D147" s="1" t="s">
        <v>210</v>
      </c>
      <c r="F147" s="13"/>
      <c r="G147" s="12">
        <f t="shared" si="73"/>
        <v>4.5999999999999996</v>
      </c>
      <c r="L147" s="1">
        <v>4.5999999999999996</v>
      </c>
      <c r="R147" s="3">
        <v>1</v>
      </c>
      <c r="T147" s="1" t="s">
        <v>284</v>
      </c>
      <c r="U147" s="1" t="s">
        <v>283</v>
      </c>
      <c r="V147" s="1">
        <v>2</v>
      </c>
      <c r="W147" s="1" t="s">
        <v>279</v>
      </c>
      <c r="Y147" s="1" t="s">
        <v>15</v>
      </c>
      <c r="Z147" s="1">
        <v>2</v>
      </c>
      <c r="AA147" s="1" t="s">
        <v>249</v>
      </c>
      <c r="AB147" s="1">
        <v>1</v>
      </c>
      <c r="AC147" s="1" t="s">
        <v>274</v>
      </c>
      <c r="AD147" s="5" t="s">
        <v>272</v>
      </c>
      <c r="AE147" s="13" t="s">
        <v>820</v>
      </c>
      <c r="AF147" s="13"/>
      <c r="AG147" s="5"/>
      <c r="AI147" s="1">
        <v>3.5</v>
      </c>
      <c r="AJ147" s="1">
        <v>5</v>
      </c>
      <c r="AL147" s="1" t="s">
        <v>277</v>
      </c>
      <c r="AM147" s="2"/>
      <c r="AN147" s="3"/>
      <c r="AP147" s="15">
        <v>50</v>
      </c>
      <c r="AR147" s="3">
        <v>1</v>
      </c>
      <c r="AS147" s="3">
        <v>1</v>
      </c>
      <c r="AT147" s="3"/>
      <c r="AU147" s="3"/>
      <c r="AV147" s="1">
        <v>147</v>
      </c>
      <c r="AW147" s="3">
        <v>150</v>
      </c>
      <c r="AX147" s="3">
        <v>150</v>
      </c>
      <c r="AY147" s="1">
        <v>128</v>
      </c>
      <c r="AZ147" s="1">
        <v>126</v>
      </c>
      <c r="BA147" s="1">
        <v>123</v>
      </c>
      <c r="BB147" s="1">
        <v>122</v>
      </c>
      <c r="BC147" s="1" t="s">
        <v>281</v>
      </c>
      <c r="BD147" s="1">
        <f t="shared" si="79"/>
        <v>0.9609375</v>
      </c>
      <c r="BE147" s="1">
        <f t="shared" si="80"/>
        <v>0.1</v>
      </c>
      <c r="BG147" s="3"/>
    </row>
    <row r="148" spans="1:59" ht="17.25" customHeight="1" x14ac:dyDescent="0.2">
      <c r="A148" s="4">
        <v>50</v>
      </c>
      <c r="B148" s="4" t="s">
        <v>271</v>
      </c>
      <c r="C148" s="4" t="s">
        <v>278</v>
      </c>
      <c r="D148" s="4" t="s">
        <v>210</v>
      </c>
      <c r="F148" s="12"/>
      <c r="G148" s="12">
        <f t="shared" si="73"/>
        <v>4.5999999999999996</v>
      </c>
      <c r="L148" s="4">
        <v>4.5999999999999996</v>
      </c>
      <c r="T148" s="4" t="s">
        <v>284</v>
      </c>
      <c r="U148" s="4" t="s">
        <v>283</v>
      </c>
      <c r="V148" s="4">
        <v>2</v>
      </c>
      <c r="W148" s="4" t="s">
        <v>279</v>
      </c>
      <c r="Y148" s="4" t="s">
        <v>15</v>
      </c>
      <c r="Z148" s="4">
        <v>2</v>
      </c>
      <c r="AA148" s="4" t="s">
        <v>249</v>
      </c>
      <c r="AB148" s="4">
        <v>1</v>
      </c>
      <c r="AC148" s="4" t="s">
        <v>274</v>
      </c>
      <c r="AD148" s="6" t="s">
        <v>272</v>
      </c>
      <c r="AE148" s="12" t="s">
        <v>820</v>
      </c>
      <c r="AF148" s="12"/>
      <c r="AG148" s="6"/>
      <c r="AI148" s="4">
        <v>3.5</v>
      </c>
      <c r="AJ148" s="4">
        <v>5</v>
      </c>
      <c r="AL148" s="4" t="s">
        <v>277</v>
      </c>
      <c r="AM148" s="10"/>
      <c r="AP148" s="15">
        <v>50</v>
      </c>
      <c r="AR148" s="7">
        <v>1</v>
      </c>
      <c r="AS148" s="7">
        <v>1</v>
      </c>
      <c r="AV148" s="4">
        <v>147</v>
      </c>
      <c r="AW148" s="7">
        <v>150</v>
      </c>
      <c r="AX148" s="7">
        <v>150</v>
      </c>
      <c r="AY148" s="4">
        <v>131</v>
      </c>
      <c r="AZ148" s="4">
        <v>128</v>
      </c>
      <c r="BA148" s="4">
        <v>126</v>
      </c>
      <c r="BB148" s="4">
        <v>125</v>
      </c>
      <c r="BC148" s="4" t="s">
        <v>281</v>
      </c>
      <c r="BD148" s="4">
        <f t="shared" ref="BD148:BD151" si="81">BA148/AY148</f>
        <v>0.96183206106870234</v>
      </c>
      <c r="BE148" s="4">
        <f t="shared" ref="BE148:BE151" si="82">(AY148-BA148)/50</f>
        <v>0.1</v>
      </c>
    </row>
    <row r="149" spans="1:59" s="1" customFormat="1" ht="19.5" customHeight="1" x14ac:dyDescent="0.2">
      <c r="A149" s="1">
        <v>30</v>
      </c>
      <c r="B149" s="1" t="s">
        <v>271</v>
      </c>
      <c r="C149" s="1" t="s">
        <v>278</v>
      </c>
      <c r="D149" s="1" t="s">
        <v>210</v>
      </c>
      <c r="F149" s="13"/>
      <c r="G149" s="12">
        <f t="shared" si="73"/>
        <v>4.5999999999999996</v>
      </c>
      <c r="L149" s="1">
        <v>4.5999999999999996</v>
      </c>
      <c r="R149" s="3">
        <f>100/105</f>
        <v>0.95238095238095233</v>
      </c>
      <c r="T149" s="1" t="s">
        <v>280</v>
      </c>
      <c r="U149" s="1" t="s">
        <v>283</v>
      </c>
      <c r="V149" s="1">
        <v>2</v>
      </c>
      <c r="W149" s="1" t="s">
        <v>279</v>
      </c>
      <c r="Y149" s="1" t="s">
        <v>15</v>
      </c>
      <c r="Z149" s="1">
        <v>2</v>
      </c>
      <c r="AA149" s="1" t="s">
        <v>249</v>
      </c>
      <c r="AB149" s="1">
        <v>1</v>
      </c>
      <c r="AC149" s="1" t="s">
        <v>274</v>
      </c>
      <c r="AD149" s="5" t="s">
        <v>272</v>
      </c>
      <c r="AE149" s="13" t="s">
        <v>820</v>
      </c>
      <c r="AF149" s="13"/>
      <c r="AG149" s="5"/>
      <c r="AI149" s="1">
        <v>3.5</v>
      </c>
      <c r="AJ149" s="1">
        <v>5</v>
      </c>
      <c r="AL149" s="1" t="s">
        <v>277</v>
      </c>
      <c r="AM149" s="2"/>
      <c r="AN149" s="3"/>
      <c r="AP149" s="15">
        <v>50</v>
      </c>
      <c r="AR149" s="3">
        <v>4</v>
      </c>
      <c r="AS149" s="3">
        <v>10</v>
      </c>
      <c r="AT149" s="3"/>
      <c r="AU149" s="3"/>
      <c r="AV149" s="1">
        <v>147</v>
      </c>
      <c r="AW149" s="3">
        <v>600</v>
      </c>
      <c r="AX149" s="3">
        <v>1500</v>
      </c>
      <c r="AY149" s="1">
        <v>100</v>
      </c>
      <c r="AZ149" s="1">
        <v>96</v>
      </c>
      <c r="BA149" s="1">
        <v>94</v>
      </c>
      <c r="BB149" s="1">
        <v>91</v>
      </c>
      <c r="BC149" s="1" t="s">
        <v>281</v>
      </c>
      <c r="BD149" s="1">
        <f t="shared" si="81"/>
        <v>0.94</v>
      </c>
      <c r="BE149" s="1">
        <f t="shared" si="82"/>
        <v>0.12</v>
      </c>
      <c r="BG149" s="3"/>
    </row>
    <row r="150" spans="1:59" ht="17.25" customHeight="1" x14ac:dyDescent="0.2">
      <c r="A150" s="4">
        <v>30</v>
      </c>
      <c r="B150" s="4" t="s">
        <v>271</v>
      </c>
      <c r="C150" s="4" t="s">
        <v>278</v>
      </c>
      <c r="D150" s="4" t="s">
        <v>210</v>
      </c>
      <c r="F150" s="12"/>
      <c r="G150" s="12">
        <f t="shared" si="73"/>
        <v>4.5999999999999996</v>
      </c>
      <c r="L150" s="4">
        <v>4.5999999999999996</v>
      </c>
      <c r="R150" s="7">
        <v>1</v>
      </c>
      <c r="T150" s="4" t="s">
        <v>284</v>
      </c>
      <c r="U150" s="4" t="s">
        <v>283</v>
      </c>
      <c r="V150" s="4">
        <v>2</v>
      </c>
      <c r="W150" s="4" t="s">
        <v>279</v>
      </c>
      <c r="Y150" s="4" t="s">
        <v>15</v>
      </c>
      <c r="Z150" s="4">
        <v>2</v>
      </c>
      <c r="AA150" s="4" t="s">
        <v>249</v>
      </c>
      <c r="AB150" s="4">
        <v>1</v>
      </c>
      <c r="AC150" s="4" t="s">
        <v>274</v>
      </c>
      <c r="AD150" s="6" t="s">
        <v>272</v>
      </c>
      <c r="AE150" s="12" t="s">
        <v>820</v>
      </c>
      <c r="AF150" s="12"/>
      <c r="AG150" s="6"/>
      <c r="AI150" s="4">
        <v>3.5</v>
      </c>
      <c r="AJ150" s="4">
        <v>5</v>
      </c>
      <c r="AL150" s="4" t="s">
        <v>277</v>
      </c>
      <c r="AM150" s="10"/>
      <c r="AP150" s="15">
        <v>50</v>
      </c>
      <c r="AR150" s="7">
        <v>4</v>
      </c>
      <c r="AS150" s="7">
        <v>10</v>
      </c>
      <c r="AV150" s="4">
        <v>147</v>
      </c>
      <c r="AW150" s="7">
        <v>600</v>
      </c>
      <c r="AX150" s="7">
        <v>1500</v>
      </c>
      <c r="AY150" s="4">
        <v>128</v>
      </c>
      <c r="AZ150" s="4">
        <v>125</v>
      </c>
      <c r="BA150" s="4">
        <v>124</v>
      </c>
      <c r="BB150" s="4">
        <v>123</v>
      </c>
      <c r="BC150" s="4" t="s">
        <v>281</v>
      </c>
      <c r="BD150" s="4">
        <f t="shared" si="81"/>
        <v>0.96875</v>
      </c>
      <c r="BE150" s="4">
        <f t="shared" si="82"/>
        <v>0.08</v>
      </c>
    </row>
    <row r="151" spans="1:59" s="1" customFormat="1" ht="19.5" customHeight="1" x14ac:dyDescent="0.2">
      <c r="A151" s="1">
        <v>30</v>
      </c>
      <c r="B151" s="1" t="s">
        <v>287</v>
      </c>
      <c r="C151" s="1" t="s">
        <v>278</v>
      </c>
      <c r="D151" s="1" t="s">
        <v>210</v>
      </c>
      <c r="F151" s="13" t="s">
        <v>826</v>
      </c>
      <c r="G151" s="12">
        <f t="shared" si="73"/>
        <v>4</v>
      </c>
      <c r="H151" s="1">
        <v>4</v>
      </c>
      <c r="L151" s="1">
        <v>4</v>
      </c>
      <c r="P151" s="1" t="s">
        <v>604</v>
      </c>
      <c r="Q151" s="1">
        <f>126/127</f>
        <v>0.99212598425196852</v>
      </c>
      <c r="R151" s="3">
        <f>125/126</f>
        <v>0.99206349206349209</v>
      </c>
      <c r="U151" s="1">
        <v>750</v>
      </c>
      <c r="V151" s="1">
        <v>2</v>
      </c>
      <c r="W151" s="1" t="s">
        <v>279</v>
      </c>
      <c r="Y151" s="1" t="s">
        <v>15</v>
      </c>
      <c r="Z151" s="1">
        <v>2</v>
      </c>
      <c r="AA151" s="1" t="s">
        <v>249</v>
      </c>
      <c r="AB151" s="1">
        <v>1</v>
      </c>
      <c r="AC151" s="1" t="s">
        <v>285</v>
      </c>
      <c r="AD151" s="5" t="s">
        <v>286</v>
      </c>
      <c r="AE151" s="13" t="s">
        <v>820</v>
      </c>
      <c r="AF151" s="13" t="s">
        <v>826</v>
      </c>
      <c r="AG151" s="5"/>
      <c r="AI151" s="1">
        <v>3.5</v>
      </c>
      <c r="AJ151" s="1">
        <v>4.3</v>
      </c>
      <c r="AL151" s="1" t="s">
        <v>277</v>
      </c>
      <c r="AM151" s="2"/>
      <c r="AN151" s="3"/>
      <c r="AP151" s="15">
        <v>50</v>
      </c>
      <c r="AQ151" s="1">
        <v>0.1</v>
      </c>
      <c r="AR151" s="3">
        <v>0.5</v>
      </c>
      <c r="AS151" s="3">
        <v>0.5</v>
      </c>
      <c r="AT151" s="3"/>
      <c r="AU151" s="3"/>
      <c r="AV151" s="1">
        <v>148</v>
      </c>
      <c r="AW151" s="3">
        <v>74</v>
      </c>
      <c r="AX151" s="3">
        <v>74</v>
      </c>
      <c r="AY151" s="1">
        <v>131</v>
      </c>
      <c r="AZ151" s="1">
        <v>128</v>
      </c>
      <c r="BA151" s="1">
        <v>126</v>
      </c>
      <c r="BB151" s="1">
        <v>122</v>
      </c>
      <c r="BD151" s="1">
        <f t="shared" si="81"/>
        <v>0.96183206106870234</v>
      </c>
      <c r="BE151" s="1">
        <f t="shared" si="82"/>
        <v>0.1</v>
      </c>
      <c r="BG151" s="3">
        <f>134/139</f>
        <v>0.96402877697841727</v>
      </c>
    </row>
    <row r="152" spans="1:59" ht="17.25" customHeight="1" x14ac:dyDescent="0.2">
      <c r="A152" s="4">
        <v>30</v>
      </c>
      <c r="B152" s="4" t="s">
        <v>5</v>
      </c>
      <c r="C152" s="4" t="s">
        <v>278</v>
      </c>
      <c r="D152" s="4" t="s">
        <v>210</v>
      </c>
      <c r="F152" s="12"/>
      <c r="G152" s="12" t="e">
        <f t="shared" si="73"/>
        <v>#DIV/0!</v>
      </c>
      <c r="V152" s="4">
        <v>2</v>
      </c>
      <c r="W152" s="4" t="s">
        <v>288</v>
      </c>
      <c r="Y152" s="4" t="s">
        <v>15</v>
      </c>
      <c r="Z152" s="4">
        <v>2</v>
      </c>
      <c r="AA152" s="4" t="s">
        <v>249</v>
      </c>
      <c r="AB152" s="4">
        <v>1</v>
      </c>
      <c r="AC152" s="4" t="s">
        <v>285</v>
      </c>
      <c r="AD152" s="6" t="s">
        <v>286</v>
      </c>
      <c r="AE152" s="12" t="s">
        <v>820</v>
      </c>
      <c r="AF152" s="12"/>
      <c r="AG152" s="6"/>
      <c r="AI152" s="4">
        <v>3.5</v>
      </c>
      <c r="AJ152" s="4">
        <v>4.3</v>
      </c>
      <c r="AL152" s="4" t="s">
        <v>277</v>
      </c>
      <c r="AM152" s="10"/>
      <c r="AR152" s="7">
        <v>0.5</v>
      </c>
      <c r="AS152" s="7">
        <v>0.5</v>
      </c>
      <c r="AV152" s="4">
        <v>148</v>
      </c>
      <c r="AW152" s="7">
        <v>74</v>
      </c>
      <c r="AX152" s="7">
        <v>74</v>
      </c>
      <c r="AY152" s="4">
        <v>135</v>
      </c>
      <c r="AZ152" s="4">
        <v>110</v>
      </c>
      <c r="BA152" s="4">
        <v>99</v>
      </c>
      <c r="BB152" s="4">
        <v>89</v>
      </c>
      <c r="BD152" s="4">
        <f t="shared" ref="BD152:BD153" si="83">BA152/AY152</f>
        <v>0.73333333333333328</v>
      </c>
      <c r="BE152" s="4">
        <f t="shared" ref="BE152:BE153" si="84">(AY152-BA152)/50</f>
        <v>0.72</v>
      </c>
    </row>
    <row r="153" spans="1:59" s="1" customFormat="1" ht="19.5" customHeight="1" x14ac:dyDescent="0.2">
      <c r="A153" s="1">
        <v>50</v>
      </c>
      <c r="B153" s="1" t="s">
        <v>287</v>
      </c>
      <c r="C153" s="1" t="s">
        <v>278</v>
      </c>
      <c r="D153" s="1" t="s">
        <v>210</v>
      </c>
      <c r="F153" s="13"/>
      <c r="G153" s="12" t="e">
        <f t="shared" si="73"/>
        <v>#DIV/0!</v>
      </c>
      <c r="R153" s="3"/>
      <c r="U153" s="1">
        <v>750</v>
      </c>
      <c r="V153" s="1">
        <v>2</v>
      </c>
      <c r="W153" s="1" t="s">
        <v>279</v>
      </c>
      <c r="Y153" s="1" t="s">
        <v>15</v>
      </c>
      <c r="Z153" s="1">
        <v>2</v>
      </c>
      <c r="AA153" s="1" t="s">
        <v>249</v>
      </c>
      <c r="AB153" s="1">
        <v>1</v>
      </c>
      <c r="AC153" s="1" t="s">
        <v>285</v>
      </c>
      <c r="AD153" s="5" t="s">
        <v>286</v>
      </c>
      <c r="AE153" s="13" t="s">
        <v>820</v>
      </c>
      <c r="AF153" s="13"/>
      <c r="AG153" s="5"/>
      <c r="AI153" s="1">
        <v>3.5</v>
      </c>
      <c r="AJ153" s="1">
        <v>4.3</v>
      </c>
      <c r="AL153" s="1" t="s">
        <v>277</v>
      </c>
      <c r="AM153" s="2"/>
      <c r="AN153" s="3"/>
      <c r="AP153" s="15">
        <v>50</v>
      </c>
      <c r="AQ153" s="1">
        <v>0.1</v>
      </c>
      <c r="AR153" s="3">
        <v>0.5</v>
      </c>
      <c r="AS153" s="3">
        <v>0.5</v>
      </c>
      <c r="AT153" s="3"/>
      <c r="AU153" s="3"/>
      <c r="AV153" s="1">
        <v>148</v>
      </c>
      <c r="AW153" s="3">
        <v>74</v>
      </c>
      <c r="AX153" s="3">
        <v>74</v>
      </c>
      <c r="AY153" s="1">
        <v>132</v>
      </c>
      <c r="AZ153" s="1">
        <v>125</v>
      </c>
      <c r="BA153" s="1">
        <v>122</v>
      </c>
      <c r="BB153" s="1">
        <v>117</v>
      </c>
      <c r="BD153" s="1">
        <f t="shared" si="83"/>
        <v>0.9242424242424242</v>
      </c>
      <c r="BE153" s="1">
        <f t="shared" si="84"/>
        <v>0.2</v>
      </c>
      <c r="BG153" s="3"/>
    </row>
    <row r="154" spans="1:59" ht="17.25" customHeight="1" x14ac:dyDescent="0.2">
      <c r="A154" s="4">
        <v>50</v>
      </c>
      <c r="B154" s="4" t="s">
        <v>5</v>
      </c>
      <c r="C154" s="4" t="s">
        <v>278</v>
      </c>
      <c r="D154" s="4" t="s">
        <v>210</v>
      </c>
      <c r="F154" s="12"/>
      <c r="G154" s="12" t="e">
        <f t="shared" si="73"/>
        <v>#DIV/0!</v>
      </c>
      <c r="V154" s="4">
        <v>2</v>
      </c>
      <c r="W154" s="4" t="s">
        <v>288</v>
      </c>
      <c r="Y154" s="4" t="s">
        <v>15</v>
      </c>
      <c r="Z154" s="4">
        <v>2</v>
      </c>
      <c r="AA154" s="4" t="s">
        <v>249</v>
      </c>
      <c r="AB154" s="4">
        <v>1</v>
      </c>
      <c r="AC154" s="4" t="s">
        <v>285</v>
      </c>
      <c r="AD154" s="6" t="s">
        <v>286</v>
      </c>
      <c r="AE154" s="12" t="s">
        <v>820</v>
      </c>
      <c r="AF154" s="12"/>
      <c r="AG154" s="6"/>
      <c r="AI154" s="4">
        <v>3.5</v>
      </c>
      <c r="AJ154" s="4">
        <v>4.3</v>
      </c>
      <c r="AL154" s="4" t="s">
        <v>277</v>
      </c>
      <c r="AM154" s="10"/>
      <c r="AR154" s="7">
        <v>0.5</v>
      </c>
      <c r="AS154" s="7">
        <v>0.5</v>
      </c>
      <c r="AV154" s="4">
        <v>148</v>
      </c>
      <c r="AW154" s="7">
        <v>74</v>
      </c>
      <c r="AX154" s="7">
        <v>74</v>
      </c>
      <c r="AY154" s="4">
        <v>130</v>
      </c>
      <c r="AZ154" s="4">
        <v>100</v>
      </c>
      <c r="BA154" s="4">
        <v>88</v>
      </c>
      <c r="BB154" s="4">
        <v>78</v>
      </c>
      <c r="BD154" s="4">
        <f t="shared" ref="BD154:BD155" si="85">BA154/AY154</f>
        <v>0.67692307692307696</v>
      </c>
      <c r="BE154" s="4">
        <f t="shared" ref="BE154:BE155" si="86">(AY154-BA154)/50</f>
        <v>0.84</v>
      </c>
    </row>
    <row r="155" spans="1:59" s="1" customFormat="1" ht="19.5" customHeight="1" x14ac:dyDescent="0.2">
      <c r="A155" s="1">
        <v>30</v>
      </c>
      <c r="B155" s="1" t="s">
        <v>287</v>
      </c>
      <c r="C155" s="1" t="s">
        <v>278</v>
      </c>
      <c r="D155" s="1" t="s">
        <v>210</v>
      </c>
      <c r="F155" s="13">
        <v>3.95</v>
      </c>
      <c r="G155" s="12" t="e">
        <f t="shared" si="73"/>
        <v>#DIV/0!</v>
      </c>
      <c r="Q155" s="1">
        <f>126/127</f>
        <v>0.99212598425196852</v>
      </c>
      <c r="R155" s="3">
        <f>125/126</f>
        <v>0.99206349206349209</v>
      </c>
      <c r="U155" s="1">
        <v>750</v>
      </c>
      <c r="V155" s="1">
        <v>2</v>
      </c>
      <c r="W155" s="1" t="s">
        <v>279</v>
      </c>
      <c r="Y155" s="1" t="s">
        <v>15</v>
      </c>
      <c r="Z155" s="1">
        <v>2</v>
      </c>
      <c r="AA155" s="1" t="s">
        <v>249</v>
      </c>
      <c r="AB155" s="1">
        <v>1</v>
      </c>
      <c r="AC155" s="1" t="s">
        <v>285</v>
      </c>
      <c r="AD155" s="5" t="s">
        <v>286</v>
      </c>
      <c r="AE155" s="13" t="s">
        <v>820</v>
      </c>
      <c r="AF155" s="13">
        <v>3.95</v>
      </c>
      <c r="AG155" s="5"/>
      <c r="AI155" s="1">
        <v>3.5</v>
      </c>
      <c r="AJ155" s="1">
        <v>4.3</v>
      </c>
      <c r="AL155" s="1" t="s">
        <v>277</v>
      </c>
      <c r="AM155" s="2"/>
      <c r="AN155" s="3"/>
      <c r="AP155" s="15">
        <v>50</v>
      </c>
      <c r="AQ155" s="1">
        <v>0.1</v>
      </c>
      <c r="AR155" s="3">
        <v>5</v>
      </c>
      <c r="AS155" s="3">
        <v>10</v>
      </c>
      <c r="AT155" s="3"/>
      <c r="AU155" s="3"/>
      <c r="AV155" s="1">
        <v>148</v>
      </c>
      <c r="AW155" s="3">
        <v>740</v>
      </c>
      <c r="AX155" s="3">
        <v>1480</v>
      </c>
      <c r="AY155" s="1">
        <v>125</v>
      </c>
      <c r="AZ155" s="1">
        <v>122</v>
      </c>
      <c r="BA155" s="1">
        <v>120</v>
      </c>
      <c r="BB155" s="1">
        <v>119</v>
      </c>
      <c r="BD155" s="1">
        <f t="shared" si="85"/>
        <v>0.96</v>
      </c>
      <c r="BE155" s="1">
        <f t="shared" si="86"/>
        <v>0.1</v>
      </c>
      <c r="BG155" s="3"/>
    </row>
    <row r="156" spans="1:59" ht="17.25" customHeight="1" x14ac:dyDescent="0.2">
      <c r="A156" s="4" t="s">
        <v>167</v>
      </c>
      <c r="B156" s="4" t="s">
        <v>4</v>
      </c>
      <c r="C156" s="4" t="s">
        <v>294</v>
      </c>
      <c r="D156" s="4" t="s">
        <v>210</v>
      </c>
      <c r="F156" s="12">
        <v>3.9</v>
      </c>
      <c r="G156" s="12" t="e">
        <f t="shared" si="73"/>
        <v>#DIV/0!</v>
      </c>
      <c r="T156" s="4" t="s">
        <v>312</v>
      </c>
      <c r="U156" s="4">
        <v>950</v>
      </c>
      <c r="V156" s="4">
        <v>1</v>
      </c>
      <c r="Y156" s="4" t="s">
        <v>15</v>
      </c>
      <c r="Z156" s="4">
        <v>2</v>
      </c>
      <c r="AA156" s="4" t="s">
        <v>293</v>
      </c>
      <c r="AB156" s="4">
        <v>1</v>
      </c>
      <c r="AC156" s="4" t="s">
        <v>289</v>
      </c>
      <c r="AD156" s="6" t="s">
        <v>290</v>
      </c>
      <c r="AE156" s="12" t="s">
        <v>827</v>
      </c>
      <c r="AF156" s="12">
        <v>3.9</v>
      </c>
      <c r="AG156" s="6"/>
      <c r="AI156" s="4">
        <v>3.6</v>
      </c>
      <c r="AJ156" s="4">
        <v>4.5</v>
      </c>
      <c r="AL156" s="4" t="s">
        <v>31</v>
      </c>
      <c r="AM156" s="10" t="s">
        <v>112</v>
      </c>
      <c r="AR156" s="7">
        <v>0.33333333333333331</v>
      </c>
      <c r="AS156" s="7">
        <v>0.33333333333333298</v>
      </c>
      <c r="AT156" s="7">
        <f>7+58.9+32</f>
        <v>97.9</v>
      </c>
      <c r="AU156" s="7">
        <f>96485.3/3600/AT156</f>
        <v>0.27376376120758145</v>
      </c>
      <c r="AV156" s="4">
        <v>273</v>
      </c>
      <c r="AW156" s="7">
        <v>47</v>
      </c>
      <c r="AX156" s="7">
        <v>47</v>
      </c>
      <c r="AY156" s="4">
        <v>185</v>
      </c>
      <c r="AZ156" s="4">
        <v>186</v>
      </c>
      <c r="BA156" s="4">
        <v>185</v>
      </c>
      <c r="BB156" s="4">
        <v>180</v>
      </c>
      <c r="BC156" s="4" t="s">
        <v>301</v>
      </c>
      <c r="BD156" s="4">
        <f t="shared" ref="BD156:BD160" si="87">BA156/AY156</f>
        <v>1</v>
      </c>
      <c r="BE156" s="4">
        <f t="shared" ref="BE156:BE160" si="88">(AY156-BA156)/50</f>
        <v>0</v>
      </c>
    </row>
    <row r="157" spans="1:59" s="1" customFormat="1" ht="19.5" customHeight="1" x14ac:dyDescent="0.2">
      <c r="A157" s="1">
        <v>30</v>
      </c>
      <c r="B157" s="1" t="s">
        <v>304</v>
      </c>
      <c r="C157" s="1" t="s">
        <v>294</v>
      </c>
      <c r="D157" s="1" t="s">
        <v>210</v>
      </c>
      <c r="F157" s="13"/>
      <c r="G157" s="12" t="e">
        <f t="shared" si="73"/>
        <v>#DIV/0!</v>
      </c>
      <c r="R157" s="3"/>
      <c r="V157" s="1">
        <v>1</v>
      </c>
      <c r="Y157" s="1" t="s">
        <v>15</v>
      </c>
      <c r="Z157" s="1">
        <v>2</v>
      </c>
      <c r="AA157" s="1" t="s">
        <v>293</v>
      </c>
      <c r="AB157" s="1">
        <v>1</v>
      </c>
      <c r="AC157" s="1" t="s">
        <v>292</v>
      </c>
      <c r="AD157" s="5" t="s">
        <v>295</v>
      </c>
      <c r="AE157" s="13" t="s">
        <v>827</v>
      </c>
      <c r="AF157" s="13"/>
      <c r="AG157" s="5"/>
      <c r="AI157" s="1">
        <v>3.6</v>
      </c>
      <c r="AJ157" s="1">
        <v>4.5</v>
      </c>
      <c r="AL157" s="1" t="s">
        <v>31</v>
      </c>
      <c r="AM157" s="2" t="s">
        <v>112</v>
      </c>
      <c r="AN157" s="3"/>
      <c r="AP157" s="15"/>
      <c r="AR157" s="3">
        <v>0.33333333333333331</v>
      </c>
      <c r="AS157" s="3">
        <v>0.33333333333333331</v>
      </c>
      <c r="AT157" s="3"/>
      <c r="AU157" s="3"/>
      <c r="AV157" s="1">
        <v>273</v>
      </c>
      <c r="AW157" s="3">
        <v>47</v>
      </c>
      <c r="AX157" s="3">
        <v>47</v>
      </c>
      <c r="AY157" s="1">
        <v>188</v>
      </c>
      <c r="AZ157" s="1">
        <v>181</v>
      </c>
      <c r="BA157" s="1">
        <v>170</v>
      </c>
      <c r="BB157" s="1">
        <v>131</v>
      </c>
      <c r="BC157" s="1" t="s">
        <v>299</v>
      </c>
      <c r="BD157" s="1">
        <f>BB157/AZ157</f>
        <v>0.72375690607734811</v>
      </c>
      <c r="BE157" s="1">
        <f>(AZ157-BB157)/50</f>
        <v>1</v>
      </c>
      <c r="BG157" s="3"/>
    </row>
    <row r="158" spans="1:59" ht="17.25" customHeight="1" x14ac:dyDescent="0.2">
      <c r="A158" s="4">
        <v>30</v>
      </c>
      <c r="B158" s="4" t="s">
        <v>298</v>
      </c>
      <c r="C158" s="4" t="s">
        <v>294</v>
      </c>
      <c r="D158" s="4" t="s">
        <v>210</v>
      </c>
      <c r="F158" s="12"/>
      <c r="G158" s="12" t="e">
        <f t="shared" si="73"/>
        <v>#DIV/0!</v>
      </c>
      <c r="T158" s="4" t="s">
        <v>313</v>
      </c>
      <c r="V158" s="4">
        <v>1</v>
      </c>
      <c r="Y158" s="4" t="s">
        <v>15</v>
      </c>
      <c r="Z158" s="4">
        <v>2</v>
      </c>
      <c r="AA158" s="4" t="s">
        <v>293</v>
      </c>
      <c r="AB158" s="4">
        <v>1</v>
      </c>
      <c r="AC158" s="4" t="s">
        <v>292</v>
      </c>
      <c r="AD158" s="6" t="s">
        <v>295</v>
      </c>
      <c r="AE158" s="12" t="s">
        <v>827</v>
      </c>
      <c r="AF158" s="12"/>
      <c r="AG158" s="6"/>
      <c r="AI158" s="4">
        <v>3.6</v>
      </c>
      <c r="AJ158" s="4">
        <v>4.5</v>
      </c>
      <c r="AL158" s="4" t="s">
        <v>31</v>
      </c>
      <c r="AM158" s="10" t="s">
        <v>112</v>
      </c>
      <c r="AR158" s="7">
        <v>0.33333333333333331</v>
      </c>
      <c r="AS158" s="7">
        <v>0.33333333333333331</v>
      </c>
      <c r="AV158" s="4">
        <v>273</v>
      </c>
      <c r="AW158" s="7">
        <v>47</v>
      </c>
      <c r="AX158" s="7">
        <v>47</v>
      </c>
      <c r="AY158" s="4">
        <v>180</v>
      </c>
      <c r="AZ158" s="4">
        <v>181</v>
      </c>
      <c r="BA158" s="4">
        <v>181</v>
      </c>
      <c r="BB158" s="4">
        <v>178</v>
      </c>
      <c r="BC158" s="4" t="s">
        <v>299</v>
      </c>
      <c r="BD158" s="4">
        <f t="shared" si="87"/>
        <v>1.0055555555555555</v>
      </c>
      <c r="BE158" s="4">
        <f t="shared" si="88"/>
        <v>-0.02</v>
      </c>
    </row>
    <row r="159" spans="1:59" s="1" customFormat="1" ht="19.5" customHeight="1" x14ac:dyDescent="0.2">
      <c r="A159" s="1">
        <v>30</v>
      </c>
      <c r="B159" s="1" t="s">
        <v>296</v>
      </c>
      <c r="C159" s="1" t="s">
        <v>294</v>
      </c>
      <c r="D159" s="1" t="s">
        <v>210</v>
      </c>
      <c r="F159" s="13"/>
      <c r="G159" s="12" t="e">
        <f t="shared" si="73"/>
        <v>#DIV/0!</v>
      </c>
      <c r="R159" s="3"/>
      <c r="T159" s="1" t="s">
        <v>313</v>
      </c>
      <c r="V159" s="1">
        <v>1</v>
      </c>
      <c r="Y159" s="1" t="s">
        <v>15</v>
      </c>
      <c r="Z159" s="1">
        <v>2</v>
      </c>
      <c r="AA159" s="1" t="s">
        <v>293</v>
      </c>
      <c r="AB159" s="1">
        <v>1</v>
      </c>
      <c r="AC159" s="1" t="s">
        <v>292</v>
      </c>
      <c r="AD159" s="5" t="s">
        <v>295</v>
      </c>
      <c r="AE159" s="13" t="s">
        <v>827</v>
      </c>
      <c r="AF159" s="13"/>
      <c r="AG159" s="5"/>
      <c r="AI159" s="1">
        <v>3.6</v>
      </c>
      <c r="AJ159" s="1">
        <v>4.5</v>
      </c>
      <c r="AL159" s="1" t="s">
        <v>31</v>
      </c>
      <c r="AM159" s="2" t="s">
        <v>112</v>
      </c>
      <c r="AN159" s="3"/>
      <c r="AP159" s="15">
        <v>10</v>
      </c>
      <c r="AR159" s="3">
        <v>0.33333333333333331</v>
      </c>
      <c r="AS159" s="3">
        <v>0.33333333333333398</v>
      </c>
      <c r="AT159" s="3"/>
      <c r="AU159" s="3"/>
      <c r="AV159" s="1">
        <v>273</v>
      </c>
      <c r="AW159" s="3">
        <v>47</v>
      </c>
      <c r="AX159" s="3">
        <v>47</v>
      </c>
      <c r="AY159" s="1">
        <v>160</v>
      </c>
      <c r="AZ159" s="1">
        <v>160</v>
      </c>
      <c r="BA159" s="1">
        <v>158</v>
      </c>
      <c r="BB159" s="1">
        <v>154</v>
      </c>
      <c r="BC159" s="1" t="s">
        <v>299</v>
      </c>
      <c r="BD159" s="1">
        <f t="shared" si="87"/>
        <v>0.98750000000000004</v>
      </c>
      <c r="BE159" s="1">
        <f t="shared" si="88"/>
        <v>0.04</v>
      </c>
      <c r="BG159" s="3"/>
    </row>
    <row r="160" spans="1:59" ht="17.25" customHeight="1" x14ac:dyDescent="0.2">
      <c r="A160" s="4">
        <v>30</v>
      </c>
      <c r="B160" s="4" t="s">
        <v>297</v>
      </c>
      <c r="C160" s="4" t="s">
        <v>294</v>
      </c>
      <c r="D160" s="4" t="s">
        <v>210</v>
      </c>
      <c r="F160" s="12"/>
      <c r="G160" s="12" t="e">
        <f t="shared" si="73"/>
        <v>#DIV/0!</v>
      </c>
      <c r="T160" s="4" t="s">
        <v>313</v>
      </c>
      <c r="V160" s="4">
        <v>1</v>
      </c>
      <c r="Y160" s="4" t="s">
        <v>15</v>
      </c>
      <c r="Z160" s="4">
        <v>2</v>
      </c>
      <c r="AA160" s="4" t="s">
        <v>293</v>
      </c>
      <c r="AB160" s="4">
        <v>1</v>
      </c>
      <c r="AC160" s="4" t="s">
        <v>292</v>
      </c>
      <c r="AD160" s="6" t="s">
        <v>295</v>
      </c>
      <c r="AE160" s="12" t="s">
        <v>827</v>
      </c>
      <c r="AF160" s="12"/>
      <c r="AG160" s="6"/>
      <c r="AI160" s="4">
        <v>3.6</v>
      </c>
      <c r="AJ160" s="4">
        <v>4.5</v>
      </c>
      <c r="AL160" s="4" t="s">
        <v>31</v>
      </c>
      <c r="AM160" s="10" t="s">
        <v>112</v>
      </c>
      <c r="AR160" s="7">
        <v>0.33333333333333331</v>
      </c>
      <c r="AS160" s="7">
        <v>0.33333333333333398</v>
      </c>
      <c r="AV160" s="4">
        <v>273</v>
      </c>
      <c r="AW160" s="7">
        <v>47</v>
      </c>
      <c r="AX160" s="7">
        <v>47</v>
      </c>
      <c r="AY160" s="4">
        <v>180</v>
      </c>
      <c r="AZ160" s="4">
        <v>181</v>
      </c>
      <c r="BA160" s="4">
        <v>177</v>
      </c>
      <c r="BB160" s="4">
        <v>174</v>
      </c>
      <c r="BC160" s="4" t="s">
        <v>299</v>
      </c>
      <c r="BD160" s="4">
        <f t="shared" si="87"/>
        <v>0.98333333333333328</v>
      </c>
      <c r="BE160" s="4">
        <f t="shared" si="88"/>
        <v>0.06</v>
      </c>
    </row>
    <row r="161" spans="1:59" s="1" customFormat="1" ht="19.5" customHeight="1" x14ac:dyDescent="0.2">
      <c r="A161" s="1">
        <v>30</v>
      </c>
      <c r="B161" s="1" t="s">
        <v>300</v>
      </c>
      <c r="C161" s="1" t="s">
        <v>294</v>
      </c>
      <c r="D161" s="1" t="s">
        <v>210</v>
      </c>
      <c r="F161" s="13"/>
      <c r="G161" s="12" t="e">
        <f t="shared" si="73"/>
        <v>#DIV/0!</v>
      </c>
      <c r="R161" s="3"/>
      <c r="T161" s="1" t="s">
        <v>313</v>
      </c>
      <c r="V161" s="1">
        <v>1</v>
      </c>
      <c r="Y161" s="1" t="s">
        <v>15</v>
      </c>
      <c r="Z161" s="1">
        <v>2</v>
      </c>
      <c r="AA161" s="1" t="s">
        <v>293</v>
      </c>
      <c r="AB161" s="1">
        <v>1</v>
      </c>
      <c r="AC161" s="1" t="s">
        <v>292</v>
      </c>
      <c r="AD161" s="5" t="s">
        <v>295</v>
      </c>
      <c r="AE161" s="13" t="s">
        <v>827</v>
      </c>
      <c r="AF161" s="13"/>
      <c r="AG161" s="5"/>
      <c r="AI161" s="1">
        <v>3.6</v>
      </c>
      <c r="AJ161" s="1">
        <v>4.5</v>
      </c>
      <c r="AL161" s="1" t="s">
        <v>31</v>
      </c>
      <c r="AM161" s="2" t="s">
        <v>112</v>
      </c>
      <c r="AN161" s="3"/>
      <c r="AP161" s="15"/>
      <c r="AR161" s="3">
        <v>0.33333333333333331</v>
      </c>
      <c r="AS161" s="3">
        <v>0.33333333333333498</v>
      </c>
      <c r="AT161" s="3"/>
      <c r="AU161" s="3"/>
      <c r="AV161" s="1">
        <v>273</v>
      </c>
      <c r="AW161" s="3">
        <v>47</v>
      </c>
      <c r="AX161" s="3">
        <v>47</v>
      </c>
      <c r="AY161" s="1">
        <v>188</v>
      </c>
      <c r="AZ161" s="1">
        <v>187</v>
      </c>
      <c r="BA161" s="1">
        <v>184</v>
      </c>
      <c r="BB161" s="1">
        <v>177</v>
      </c>
      <c r="BC161" s="1" t="s">
        <v>301</v>
      </c>
      <c r="BD161" s="1">
        <f t="shared" ref="BD161:BD162" si="89">BA161/AY161</f>
        <v>0.97872340425531912</v>
      </c>
      <c r="BE161" s="1">
        <f t="shared" ref="BE161:BE162" si="90">(AY161-BA161)/50</f>
        <v>0.08</v>
      </c>
      <c r="BG161" s="3"/>
    </row>
    <row r="162" spans="1:59" ht="17.25" customHeight="1" x14ac:dyDescent="0.2">
      <c r="A162" s="4">
        <v>30</v>
      </c>
      <c r="B162" s="4" t="s">
        <v>296</v>
      </c>
      <c r="C162" s="4" t="s">
        <v>294</v>
      </c>
      <c r="D162" s="4" t="s">
        <v>210</v>
      </c>
      <c r="F162" s="12"/>
      <c r="G162" s="12" t="e">
        <f t="shared" si="73"/>
        <v>#DIV/0!</v>
      </c>
      <c r="T162" s="4" t="s">
        <v>313</v>
      </c>
      <c r="V162" s="4">
        <v>1</v>
      </c>
      <c r="Y162" s="4" t="s">
        <v>15</v>
      </c>
      <c r="Z162" s="4">
        <v>2</v>
      </c>
      <c r="AA162" s="4" t="s">
        <v>293</v>
      </c>
      <c r="AB162" s="4">
        <v>1</v>
      </c>
      <c r="AC162" s="4" t="s">
        <v>289</v>
      </c>
      <c r="AD162" s="6" t="s">
        <v>290</v>
      </c>
      <c r="AE162" s="12" t="s">
        <v>827</v>
      </c>
      <c r="AF162" s="12"/>
      <c r="AG162" s="6"/>
      <c r="AI162" s="4">
        <v>3.6</v>
      </c>
      <c r="AJ162" s="4">
        <v>4.4000000000000004</v>
      </c>
      <c r="AL162" s="4" t="s">
        <v>31</v>
      </c>
      <c r="AM162" s="10" t="s">
        <v>112</v>
      </c>
      <c r="AP162" s="15">
        <v>10</v>
      </c>
      <c r="AR162" s="7">
        <v>0.33333333333333331</v>
      </c>
      <c r="AS162" s="7">
        <v>0.33333333333333498</v>
      </c>
      <c r="AV162" s="4">
        <v>273</v>
      </c>
      <c r="AW162" s="7">
        <v>47</v>
      </c>
      <c r="AX162" s="7">
        <v>47</v>
      </c>
      <c r="AY162" s="4">
        <v>145</v>
      </c>
      <c r="AZ162" s="4">
        <v>149</v>
      </c>
      <c r="BA162" s="4">
        <v>147</v>
      </c>
      <c r="BB162" s="4">
        <v>144</v>
      </c>
      <c r="BC162" s="4" t="s">
        <v>302</v>
      </c>
      <c r="BD162" s="4">
        <f t="shared" si="89"/>
        <v>1.0137931034482759</v>
      </c>
      <c r="BE162" s="4">
        <f t="shared" si="90"/>
        <v>-0.04</v>
      </c>
    </row>
    <row r="163" spans="1:59" s="1" customFormat="1" ht="19.5" customHeight="1" x14ac:dyDescent="0.2">
      <c r="A163" s="1">
        <v>30</v>
      </c>
      <c r="B163" s="1" t="s">
        <v>296</v>
      </c>
      <c r="C163" s="1" t="s">
        <v>294</v>
      </c>
      <c r="D163" s="1" t="s">
        <v>210</v>
      </c>
      <c r="F163" s="13"/>
      <c r="G163" s="12">
        <f t="shared" si="73"/>
        <v>3.895</v>
      </c>
      <c r="H163" s="1">
        <v>3.9</v>
      </c>
      <c r="L163" s="1">
        <v>3.89</v>
      </c>
      <c r="R163" s="3"/>
      <c r="T163" s="1" t="s">
        <v>313</v>
      </c>
      <c r="V163" s="1">
        <v>1</v>
      </c>
      <c r="Y163" s="1" t="s">
        <v>15</v>
      </c>
      <c r="Z163" s="1">
        <v>2</v>
      </c>
      <c r="AA163" s="1" t="s">
        <v>293</v>
      </c>
      <c r="AB163" s="1">
        <v>1</v>
      </c>
      <c r="AC163" s="1" t="s">
        <v>289</v>
      </c>
      <c r="AD163" s="5" t="s">
        <v>290</v>
      </c>
      <c r="AE163" s="13" t="s">
        <v>827</v>
      </c>
      <c r="AF163" s="13"/>
      <c r="AG163" s="5"/>
      <c r="AI163" s="1">
        <v>3.6</v>
      </c>
      <c r="AJ163" s="1">
        <v>4.5999999999999996</v>
      </c>
      <c r="AL163" s="1" t="s">
        <v>31</v>
      </c>
      <c r="AM163" s="2" t="s">
        <v>112</v>
      </c>
      <c r="AN163" s="3"/>
      <c r="AP163" s="15">
        <v>10</v>
      </c>
      <c r="AR163" s="3">
        <v>0.33333333333333331</v>
      </c>
      <c r="AS163" s="3">
        <v>0.33333333333333498</v>
      </c>
      <c r="AT163" s="3"/>
      <c r="AU163" s="3"/>
      <c r="AV163" s="1">
        <v>273</v>
      </c>
      <c r="AW163" s="3">
        <v>47</v>
      </c>
      <c r="AX163" s="3">
        <v>47</v>
      </c>
      <c r="AY163" s="1">
        <v>176</v>
      </c>
      <c r="AZ163" s="1">
        <v>175</v>
      </c>
      <c r="BA163" s="1">
        <v>165</v>
      </c>
      <c r="BB163" s="1">
        <v>145</v>
      </c>
      <c r="BD163" s="1">
        <f t="shared" ref="BD163:BD164" si="91">BA163/AY163</f>
        <v>0.9375</v>
      </c>
      <c r="BE163" s="1">
        <f t="shared" ref="BE163:BE164" si="92">(AY163-BA163)/50</f>
        <v>0.22</v>
      </c>
      <c r="BG163" s="3"/>
    </row>
    <row r="164" spans="1:59" ht="17.25" customHeight="1" x14ac:dyDescent="0.2">
      <c r="A164" s="4">
        <v>30</v>
      </c>
      <c r="B164" s="4" t="s">
        <v>296</v>
      </c>
      <c r="C164" s="4" t="s">
        <v>294</v>
      </c>
      <c r="D164" s="4" t="s">
        <v>210</v>
      </c>
      <c r="F164" s="12"/>
      <c r="G164" s="12" t="e">
        <f t="shared" si="73"/>
        <v>#DIV/0!</v>
      </c>
      <c r="T164" s="4" t="s">
        <v>313</v>
      </c>
      <c r="V164" s="4">
        <v>1</v>
      </c>
      <c r="Y164" s="4" t="s">
        <v>15</v>
      </c>
      <c r="Z164" s="4">
        <v>2</v>
      </c>
      <c r="AA164" s="4" t="s">
        <v>293</v>
      </c>
      <c r="AB164" s="4">
        <v>1</v>
      </c>
      <c r="AC164" s="4" t="s">
        <v>289</v>
      </c>
      <c r="AD164" s="6" t="s">
        <v>290</v>
      </c>
      <c r="AE164" s="12" t="s">
        <v>827</v>
      </c>
      <c r="AF164" s="12"/>
      <c r="AG164" s="6"/>
      <c r="AI164" s="4">
        <v>3.6</v>
      </c>
      <c r="AJ164" s="4">
        <v>4.7</v>
      </c>
      <c r="AL164" s="4" t="s">
        <v>31</v>
      </c>
      <c r="AM164" s="10" t="s">
        <v>112</v>
      </c>
      <c r="AP164" s="15">
        <v>10</v>
      </c>
      <c r="AR164" s="7">
        <v>0.33333333333333331</v>
      </c>
      <c r="AS164" s="7">
        <v>0.33333333333333598</v>
      </c>
      <c r="AV164" s="4">
        <v>273</v>
      </c>
      <c r="AW164" s="7">
        <v>47</v>
      </c>
      <c r="AX164" s="7">
        <v>47</v>
      </c>
      <c r="AY164" s="4">
        <v>176</v>
      </c>
      <c r="AZ164" s="4">
        <v>152</v>
      </c>
      <c r="BA164" s="4">
        <v>90</v>
      </c>
      <c r="BD164" s="4">
        <f t="shared" si="91"/>
        <v>0.51136363636363635</v>
      </c>
      <c r="BE164" s="4">
        <f t="shared" si="92"/>
        <v>1.72</v>
      </c>
    </row>
    <row r="165" spans="1:59" s="1" customFormat="1" ht="19.5" customHeight="1" x14ac:dyDescent="0.2">
      <c r="A165" s="1">
        <v>30</v>
      </c>
      <c r="B165" s="1" t="s">
        <v>303</v>
      </c>
      <c r="C165" s="1" t="s">
        <v>294</v>
      </c>
      <c r="D165" s="1" t="s">
        <v>210</v>
      </c>
      <c r="F165" s="13"/>
      <c r="G165" s="12" t="e">
        <f t="shared" si="73"/>
        <v>#DIV/0!</v>
      </c>
      <c r="R165" s="3"/>
      <c r="V165" s="1">
        <v>1</v>
      </c>
      <c r="Y165" s="1" t="s">
        <v>15</v>
      </c>
      <c r="Z165" s="1">
        <v>2</v>
      </c>
      <c r="AA165" s="1" t="s">
        <v>293</v>
      </c>
      <c r="AB165" s="1">
        <v>1</v>
      </c>
      <c r="AC165" s="1" t="s">
        <v>289</v>
      </c>
      <c r="AD165" s="5" t="s">
        <v>290</v>
      </c>
      <c r="AE165" s="13" t="s">
        <v>827</v>
      </c>
      <c r="AF165" s="13"/>
      <c r="AG165" s="5"/>
      <c r="AI165" s="1">
        <v>3.6</v>
      </c>
      <c r="AJ165" s="1">
        <v>4.5</v>
      </c>
      <c r="AL165" s="1" t="s">
        <v>31</v>
      </c>
      <c r="AM165" s="2" t="s">
        <v>112</v>
      </c>
      <c r="AN165" s="3"/>
      <c r="AP165" s="15"/>
      <c r="AR165" s="3">
        <v>0.33333333333333331</v>
      </c>
      <c r="AS165" s="3">
        <v>0.33333333333333598</v>
      </c>
      <c r="AT165" s="3"/>
      <c r="AU165" s="3"/>
      <c r="AV165" s="1">
        <v>273</v>
      </c>
      <c r="AW165" s="3">
        <v>47</v>
      </c>
      <c r="AX165" s="3">
        <v>47</v>
      </c>
      <c r="AY165" s="1">
        <v>181</v>
      </c>
      <c r="AZ165" s="1">
        <v>172</v>
      </c>
      <c r="BA165" s="1">
        <v>157</v>
      </c>
      <c r="BD165" s="1">
        <f>BA165/AY165</f>
        <v>0.86740331491712708</v>
      </c>
      <c r="BE165" s="1">
        <f>(AY165-BA165)/50</f>
        <v>0.48</v>
      </c>
      <c r="BG165" s="3"/>
    </row>
    <row r="166" spans="1:59" ht="17.25" customHeight="1" x14ac:dyDescent="0.2">
      <c r="A166" s="4">
        <v>30</v>
      </c>
      <c r="B166" s="4" t="s">
        <v>303</v>
      </c>
      <c r="C166" s="4" t="s">
        <v>294</v>
      </c>
      <c r="D166" s="4" t="s">
        <v>210</v>
      </c>
      <c r="F166" s="12"/>
      <c r="G166" s="12" t="e">
        <f t="shared" si="73"/>
        <v>#DIV/0!</v>
      </c>
      <c r="U166" s="4">
        <v>800</v>
      </c>
      <c r="V166" s="4">
        <v>1</v>
      </c>
      <c r="Y166" s="4" t="s">
        <v>15</v>
      </c>
      <c r="Z166" s="4">
        <v>2</v>
      </c>
      <c r="AA166" s="4" t="s">
        <v>293</v>
      </c>
      <c r="AB166" s="4">
        <v>1</v>
      </c>
      <c r="AC166" s="4" t="s">
        <v>289</v>
      </c>
      <c r="AD166" s="6" t="s">
        <v>290</v>
      </c>
      <c r="AE166" s="12" t="s">
        <v>827</v>
      </c>
      <c r="AF166" s="12"/>
      <c r="AG166" s="6"/>
      <c r="AI166" s="4">
        <v>3.6</v>
      </c>
      <c r="AJ166" s="4">
        <v>4.5</v>
      </c>
      <c r="AL166" s="4" t="s">
        <v>31</v>
      </c>
      <c r="AM166" s="10" t="s">
        <v>112</v>
      </c>
      <c r="AR166" s="7">
        <v>0.33333333333333331</v>
      </c>
      <c r="AS166" s="7">
        <v>0.33333333333333598</v>
      </c>
      <c r="AV166" s="4">
        <v>273</v>
      </c>
      <c r="AW166" s="7">
        <v>47</v>
      </c>
      <c r="AX166" s="7">
        <v>47</v>
      </c>
      <c r="AY166" s="4">
        <v>191</v>
      </c>
      <c r="AZ166" s="4">
        <v>183</v>
      </c>
      <c r="BA166" s="4">
        <v>181</v>
      </c>
      <c r="BB166" s="4">
        <v>169</v>
      </c>
      <c r="BC166" s="4" t="s">
        <v>268</v>
      </c>
      <c r="BD166" s="4">
        <f t="shared" ref="BD166:BD171" si="93">BA166/AY166</f>
        <v>0.94764397905759157</v>
      </c>
      <c r="BE166" s="4">
        <f t="shared" ref="BE166:BE171" si="94">(AY166-BA166)/50</f>
        <v>0.2</v>
      </c>
    </row>
    <row r="167" spans="1:59" s="1" customFormat="1" ht="19.5" customHeight="1" x14ac:dyDescent="0.2">
      <c r="A167" s="1">
        <v>30</v>
      </c>
      <c r="B167" s="1" t="s">
        <v>303</v>
      </c>
      <c r="C167" s="1" t="s">
        <v>294</v>
      </c>
      <c r="D167" s="1" t="s">
        <v>210</v>
      </c>
      <c r="F167" s="13"/>
      <c r="G167" s="12" t="e">
        <f t="shared" si="73"/>
        <v>#DIV/0!</v>
      </c>
      <c r="R167" s="3"/>
      <c r="U167" s="1">
        <v>800</v>
      </c>
      <c r="V167" s="1">
        <v>1</v>
      </c>
      <c r="Y167" s="1" t="s">
        <v>15</v>
      </c>
      <c r="Z167" s="1">
        <v>2</v>
      </c>
      <c r="AA167" s="1" t="s">
        <v>291</v>
      </c>
      <c r="AB167" s="1">
        <v>3</v>
      </c>
      <c r="AC167" s="1" t="s">
        <v>289</v>
      </c>
      <c r="AD167" s="5" t="s">
        <v>290</v>
      </c>
      <c r="AE167" s="13" t="s">
        <v>827</v>
      </c>
      <c r="AF167" s="13"/>
      <c r="AG167" s="5"/>
      <c r="AI167" s="1">
        <v>3.6</v>
      </c>
      <c r="AJ167" s="1">
        <v>4.5</v>
      </c>
      <c r="AL167" s="1" t="s">
        <v>31</v>
      </c>
      <c r="AM167" s="2" t="s">
        <v>112</v>
      </c>
      <c r="AN167" s="3"/>
      <c r="AP167" s="15"/>
      <c r="AR167" s="3">
        <v>0.33333333333333331</v>
      </c>
      <c r="AS167" s="3">
        <v>0.33333333333333698</v>
      </c>
      <c r="AT167" s="3"/>
      <c r="AU167" s="3"/>
      <c r="AV167" s="1">
        <v>273</v>
      </c>
      <c r="AW167" s="3">
        <v>47</v>
      </c>
      <c r="AX167" s="3">
        <v>47</v>
      </c>
      <c r="AY167" s="1">
        <v>176</v>
      </c>
      <c r="AZ167" s="1">
        <v>170</v>
      </c>
      <c r="BA167" s="1">
        <v>171</v>
      </c>
      <c r="BB167" s="1">
        <v>171</v>
      </c>
      <c r="BD167" s="1">
        <f t="shared" si="93"/>
        <v>0.97159090909090906</v>
      </c>
      <c r="BE167" s="1">
        <f t="shared" si="94"/>
        <v>0.1</v>
      </c>
      <c r="BG167" s="3"/>
    </row>
    <row r="168" spans="1:59" ht="17.25" customHeight="1" x14ac:dyDescent="0.2">
      <c r="A168" s="4">
        <v>30</v>
      </c>
      <c r="B168" s="4" t="s">
        <v>303</v>
      </c>
      <c r="C168" s="4" t="s">
        <v>294</v>
      </c>
      <c r="D168" s="4" t="s">
        <v>210</v>
      </c>
      <c r="F168" s="12"/>
      <c r="G168" s="12" t="e">
        <f t="shared" si="73"/>
        <v>#DIV/0!</v>
      </c>
      <c r="U168" s="4">
        <v>950</v>
      </c>
      <c r="V168" s="4">
        <v>1</v>
      </c>
      <c r="Y168" s="4" t="s">
        <v>15</v>
      </c>
      <c r="Z168" s="4">
        <v>2</v>
      </c>
      <c r="AA168" s="4" t="s">
        <v>291</v>
      </c>
      <c r="AB168" s="4">
        <v>3</v>
      </c>
      <c r="AC168" s="4" t="s">
        <v>289</v>
      </c>
      <c r="AD168" s="6" t="s">
        <v>290</v>
      </c>
      <c r="AE168" s="12" t="s">
        <v>827</v>
      </c>
      <c r="AF168" s="12"/>
      <c r="AG168" s="6"/>
      <c r="AI168" s="4">
        <v>3.6</v>
      </c>
      <c r="AJ168" s="4">
        <v>4.5</v>
      </c>
      <c r="AL168" s="4" t="s">
        <v>31</v>
      </c>
      <c r="AM168" s="10" t="s">
        <v>112</v>
      </c>
      <c r="AR168" s="7">
        <v>0.33333333333333331</v>
      </c>
      <c r="AS168" s="7">
        <v>0.33333333333333698</v>
      </c>
      <c r="AV168" s="4">
        <v>273</v>
      </c>
      <c r="AW168" s="7">
        <v>47</v>
      </c>
      <c r="AX168" s="7">
        <v>47</v>
      </c>
      <c r="AY168" s="4">
        <v>183</v>
      </c>
      <c r="AZ168" s="4">
        <v>181</v>
      </c>
      <c r="BA168" s="4">
        <v>180</v>
      </c>
      <c r="BB168" s="4">
        <v>176</v>
      </c>
      <c r="BD168" s="4">
        <f t="shared" si="93"/>
        <v>0.98360655737704916</v>
      </c>
      <c r="BE168" s="4">
        <f t="shared" si="94"/>
        <v>0.06</v>
      </c>
    </row>
    <row r="169" spans="1:59" s="1" customFormat="1" ht="19.5" customHeight="1" x14ac:dyDescent="0.2">
      <c r="A169" s="1">
        <v>30</v>
      </c>
      <c r="B169" s="1" t="s">
        <v>303</v>
      </c>
      <c r="C169" s="1" t="s">
        <v>294</v>
      </c>
      <c r="D169" s="1" t="s">
        <v>210</v>
      </c>
      <c r="F169" s="13"/>
      <c r="G169" s="12">
        <f t="shared" si="73"/>
        <v>3.9350000000000001</v>
      </c>
      <c r="H169" s="1">
        <v>3.97</v>
      </c>
      <c r="L169" s="1">
        <v>3.9</v>
      </c>
      <c r="R169" s="3"/>
      <c r="U169" s="1">
        <v>950</v>
      </c>
      <c r="V169" s="1">
        <v>1</v>
      </c>
      <c r="Y169" s="1" t="s">
        <v>15</v>
      </c>
      <c r="Z169" s="1">
        <v>2</v>
      </c>
      <c r="AA169" s="1" t="s">
        <v>291</v>
      </c>
      <c r="AB169" s="1">
        <v>3</v>
      </c>
      <c r="AC169" s="1" t="s">
        <v>289</v>
      </c>
      <c r="AD169" s="5" t="s">
        <v>290</v>
      </c>
      <c r="AE169" s="13" t="s">
        <v>827</v>
      </c>
      <c r="AF169" s="13"/>
      <c r="AG169" s="5"/>
      <c r="AI169" s="1">
        <v>3.6</v>
      </c>
      <c r="AJ169" s="1">
        <v>4.5999999999999996</v>
      </c>
      <c r="AL169" s="1" t="s">
        <v>31</v>
      </c>
      <c r="AM169" s="2" t="s">
        <v>112</v>
      </c>
      <c r="AN169" s="3"/>
      <c r="AP169" s="15"/>
      <c r="AR169" s="3">
        <v>0.33333333333333331</v>
      </c>
      <c r="AS169" s="3">
        <v>0.33333333333333698</v>
      </c>
      <c r="AT169" s="3"/>
      <c r="AU169" s="3"/>
      <c r="AV169" s="1">
        <v>273</v>
      </c>
      <c r="AW169" s="3">
        <v>47</v>
      </c>
      <c r="AX169" s="3">
        <v>47</v>
      </c>
      <c r="AY169" s="1">
        <v>196</v>
      </c>
      <c r="AZ169" s="1">
        <v>141</v>
      </c>
      <c r="BA169" s="1">
        <v>94</v>
      </c>
      <c r="BB169" s="1">
        <v>62</v>
      </c>
      <c r="BC169" s="1" t="s">
        <v>305</v>
      </c>
      <c r="BD169" s="1">
        <f t="shared" si="93"/>
        <v>0.47959183673469385</v>
      </c>
      <c r="BE169" s="1">
        <f t="shared" si="94"/>
        <v>2.04</v>
      </c>
      <c r="BG169" s="3"/>
    </row>
    <row r="170" spans="1:59" ht="17.25" customHeight="1" x14ac:dyDescent="0.2">
      <c r="A170" s="4" t="s">
        <v>167</v>
      </c>
      <c r="B170" s="4" t="s">
        <v>307</v>
      </c>
      <c r="C170" s="4" t="s">
        <v>308</v>
      </c>
      <c r="D170" s="4" t="s">
        <v>210</v>
      </c>
      <c r="F170" s="12"/>
      <c r="G170" s="12">
        <f t="shared" si="73"/>
        <v>3.9</v>
      </c>
      <c r="L170" s="4">
        <v>3.9</v>
      </c>
      <c r="T170" s="4" t="s">
        <v>314</v>
      </c>
      <c r="U170" s="4">
        <v>900</v>
      </c>
      <c r="V170" s="4">
        <v>2</v>
      </c>
      <c r="W170" s="4" t="s">
        <v>52</v>
      </c>
      <c r="Y170" s="4" t="s">
        <v>306</v>
      </c>
      <c r="Z170" s="4">
        <v>3</v>
      </c>
      <c r="AA170" s="4" t="s">
        <v>309</v>
      </c>
      <c r="AB170" s="4">
        <v>1</v>
      </c>
      <c r="AC170" s="4" t="s">
        <v>310</v>
      </c>
      <c r="AD170" s="6" t="s">
        <v>311</v>
      </c>
      <c r="AE170" s="12" t="s">
        <v>825</v>
      </c>
      <c r="AF170" s="12"/>
      <c r="AG170" s="6"/>
      <c r="AI170" s="4">
        <v>3</v>
      </c>
      <c r="AJ170" s="4">
        <v>4.4000000000000004</v>
      </c>
      <c r="AM170" s="10"/>
      <c r="AQ170" s="4">
        <v>0.2</v>
      </c>
      <c r="AR170" s="7">
        <v>0.2</v>
      </c>
      <c r="AS170" s="7">
        <v>0.2</v>
      </c>
      <c r="AV170" s="4">
        <v>277</v>
      </c>
      <c r="AW170" s="7">
        <f t="shared" ref="AW170" si="95">AV170*AR170</f>
        <v>55.400000000000006</v>
      </c>
      <c r="AX170" s="7">
        <f t="shared" ref="AX170" si="96">AR170*AV170</f>
        <v>55.400000000000006</v>
      </c>
      <c r="AY170" s="4">
        <v>108</v>
      </c>
      <c r="AZ170" s="4">
        <v>105</v>
      </c>
      <c r="BA170" s="4">
        <v>107</v>
      </c>
      <c r="BD170" s="4">
        <f t="shared" si="93"/>
        <v>0.9907407407407407</v>
      </c>
      <c r="BE170" s="4">
        <f t="shared" si="94"/>
        <v>0.02</v>
      </c>
    </row>
    <row r="171" spans="1:59" s="1" customFormat="1" ht="19.5" customHeight="1" x14ac:dyDescent="0.2">
      <c r="A171" s="1" t="s">
        <v>167</v>
      </c>
      <c r="B171" s="1" t="s">
        <v>307</v>
      </c>
      <c r="C171" s="1" t="s">
        <v>308</v>
      </c>
      <c r="D171" s="1" t="s">
        <v>210</v>
      </c>
      <c r="F171" s="13">
        <v>3.9</v>
      </c>
      <c r="G171" s="12" t="e">
        <f t="shared" si="73"/>
        <v>#DIV/0!</v>
      </c>
      <c r="R171" s="3"/>
      <c r="T171" s="1" t="s">
        <v>314</v>
      </c>
      <c r="U171" s="1">
        <v>900</v>
      </c>
      <c r="V171" s="1">
        <v>2</v>
      </c>
      <c r="W171" s="1" t="s">
        <v>52</v>
      </c>
      <c r="Y171" s="1" t="s">
        <v>306</v>
      </c>
      <c r="Z171" s="1">
        <v>3</v>
      </c>
      <c r="AA171" s="1" t="s">
        <v>309</v>
      </c>
      <c r="AB171" s="1">
        <v>1</v>
      </c>
      <c r="AC171" s="1" t="s">
        <v>310</v>
      </c>
      <c r="AD171" s="5" t="s">
        <v>311</v>
      </c>
      <c r="AE171" s="13" t="s">
        <v>825</v>
      </c>
      <c r="AF171" s="13">
        <v>3.9</v>
      </c>
      <c r="AG171" s="5"/>
      <c r="AI171" s="1">
        <v>3</v>
      </c>
      <c r="AJ171" s="1">
        <v>4.5999999999999996</v>
      </c>
      <c r="AM171" s="2"/>
      <c r="AN171" s="3"/>
      <c r="AP171" s="15"/>
      <c r="AQ171" s="1">
        <v>0.2</v>
      </c>
      <c r="AR171" s="3">
        <v>0.2</v>
      </c>
      <c r="AS171" s="3">
        <v>0.2</v>
      </c>
      <c r="AT171" s="3"/>
      <c r="AU171" s="3"/>
      <c r="AV171" s="1">
        <v>277</v>
      </c>
      <c r="AW171" s="3">
        <f t="shared" ref="AW171:AW173" si="97">AV171*AR171</f>
        <v>55.400000000000006</v>
      </c>
      <c r="AX171" s="3">
        <f t="shared" ref="AX171:AX173" si="98">AR171*AV171</f>
        <v>55.400000000000006</v>
      </c>
      <c r="AY171" s="1">
        <v>124</v>
      </c>
      <c r="AZ171" s="1">
        <v>116</v>
      </c>
      <c r="BA171" s="1">
        <v>93</v>
      </c>
      <c r="BD171" s="1">
        <f t="shared" si="93"/>
        <v>0.75</v>
      </c>
      <c r="BE171" s="1">
        <f t="shared" si="94"/>
        <v>0.62</v>
      </c>
      <c r="BG171" s="3"/>
    </row>
    <row r="172" spans="1:59" ht="17.25" customHeight="1" x14ac:dyDescent="0.2">
      <c r="A172" s="4" t="s">
        <v>167</v>
      </c>
      <c r="B172" s="4" t="s">
        <v>307</v>
      </c>
      <c r="C172" s="4" t="s">
        <v>308</v>
      </c>
      <c r="D172" s="4" t="s">
        <v>210</v>
      </c>
      <c r="F172" s="12"/>
      <c r="G172" s="12" t="e">
        <f t="shared" si="73"/>
        <v>#DIV/0!</v>
      </c>
      <c r="T172" s="4" t="s">
        <v>315</v>
      </c>
      <c r="U172" s="4">
        <v>900</v>
      </c>
      <c r="V172" s="4">
        <v>2</v>
      </c>
      <c r="W172" s="4" t="s">
        <v>50</v>
      </c>
      <c r="Y172" s="4" t="s">
        <v>306</v>
      </c>
      <c r="Z172" s="4">
        <v>3</v>
      </c>
      <c r="AA172" s="4" t="s">
        <v>309</v>
      </c>
      <c r="AB172" s="4">
        <v>1</v>
      </c>
      <c r="AC172" s="4" t="s">
        <v>310</v>
      </c>
      <c r="AD172" s="6" t="s">
        <v>311</v>
      </c>
      <c r="AE172" s="12" t="s">
        <v>825</v>
      </c>
      <c r="AF172" s="12"/>
      <c r="AG172" s="6"/>
      <c r="AI172" s="4">
        <v>3</v>
      </c>
      <c r="AJ172" s="4">
        <v>4.4000000000000004</v>
      </c>
      <c r="AM172" s="10"/>
      <c r="AQ172" s="4">
        <v>0.2</v>
      </c>
      <c r="AR172" s="7">
        <v>0.2</v>
      </c>
      <c r="AS172" s="7">
        <v>0.2</v>
      </c>
      <c r="AV172" s="4">
        <v>277</v>
      </c>
      <c r="AW172" s="7">
        <f t="shared" si="97"/>
        <v>55.400000000000006</v>
      </c>
      <c r="AX172" s="7">
        <f t="shared" si="98"/>
        <v>55.400000000000006</v>
      </c>
      <c r="AY172" s="4">
        <v>106</v>
      </c>
      <c r="AZ172" s="4">
        <v>95</v>
      </c>
      <c r="BA172" s="4">
        <v>88</v>
      </c>
      <c r="BD172" s="4" t="e">
        <f>AZ172/#REF!</f>
        <v>#REF!</v>
      </c>
      <c r="BE172" s="4" t="e">
        <f>(#REF!-AZ172)/50</f>
        <v>#REF!</v>
      </c>
    </row>
    <row r="173" spans="1:59" s="1" customFormat="1" ht="19.5" customHeight="1" x14ac:dyDescent="0.2">
      <c r="A173" s="1" t="s">
        <v>167</v>
      </c>
      <c r="B173" s="1" t="s">
        <v>307</v>
      </c>
      <c r="C173" s="1" t="s">
        <v>308</v>
      </c>
      <c r="D173" s="1" t="s">
        <v>210</v>
      </c>
      <c r="F173" s="13">
        <v>3.9</v>
      </c>
      <c r="G173" s="12" t="e">
        <f t="shared" si="73"/>
        <v>#DIV/0!</v>
      </c>
      <c r="R173" s="3"/>
      <c r="T173" s="1" t="s">
        <v>315</v>
      </c>
      <c r="U173" s="1">
        <v>900</v>
      </c>
      <c r="V173" s="1">
        <v>2</v>
      </c>
      <c r="W173" s="1" t="s">
        <v>50</v>
      </c>
      <c r="Y173" s="1" t="s">
        <v>306</v>
      </c>
      <c r="Z173" s="1">
        <v>3</v>
      </c>
      <c r="AA173" s="1" t="s">
        <v>309</v>
      </c>
      <c r="AB173" s="1">
        <v>1</v>
      </c>
      <c r="AC173" s="1" t="s">
        <v>310</v>
      </c>
      <c r="AD173" s="5" t="s">
        <v>311</v>
      </c>
      <c r="AE173" s="13" t="s">
        <v>825</v>
      </c>
      <c r="AF173" s="13">
        <v>3.9</v>
      </c>
      <c r="AG173" s="5"/>
      <c r="AI173" s="1">
        <v>3</v>
      </c>
      <c r="AJ173" s="1">
        <v>4.5999999999999996</v>
      </c>
      <c r="AM173" s="2"/>
      <c r="AN173" s="3"/>
      <c r="AP173" s="15"/>
      <c r="AQ173" s="1">
        <v>0.2</v>
      </c>
      <c r="AR173" s="3">
        <v>0.2</v>
      </c>
      <c r="AS173" s="3">
        <v>0.2</v>
      </c>
      <c r="AT173" s="3"/>
      <c r="AU173" s="3"/>
      <c r="AV173" s="1">
        <v>277</v>
      </c>
      <c r="AW173" s="3">
        <f t="shared" si="97"/>
        <v>55.400000000000006</v>
      </c>
      <c r="AX173" s="3">
        <f t="shared" si="98"/>
        <v>55.400000000000006</v>
      </c>
      <c r="AY173" s="1">
        <v>120</v>
      </c>
      <c r="AZ173" s="1">
        <v>110</v>
      </c>
      <c r="BA173" s="1">
        <v>84</v>
      </c>
      <c r="BD173" s="1">
        <f t="shared" ref="BD173" si="99">BA173/AY173</f>
        <v>0.7</v>
      </c>
      <c r="BE173" s="1">
        <f t="shared" ref="BE173" si="100">(AY173-BA173)/50</f>
        <v>0.72</v>
      </c>
      <c r="BG173" s="3"/>
    </row>
    <row r="174" spans="1:59" ht="17.25" customHeight="1" x14ac:dyDescent="0.2">
      <c r="A174" s="4" t="s">
        <v>167</v>
      </c>
      <c r="B174" s="4" t="s">
        <v>307</v>
      </c>
      <c r="C174" s="4" t="s">
        <v>308</v>
      </c>
      <c r="D174" s="4" t="s">
        <v>210</v>
      </c>
      <c r="F174" s="12">
        <v>2.2999999999999998</v>
      </c>
      <c r="G174" s="12" t="e">
        <f t="shared" si="73"/>
        <v>#DIV/0!</v>
      </c>
      <c r="T174" s="4" t="s">
        <v>315</v>
      </c>
      <c r="U174" s="4">
        <v>900</v>
      </c>
      <c r="V174" s="4">
        <v>2</v>
      </c>
      <c r="W174" s="4" t="s">
        <v>50</v>
      </c>
      <c r="Y174" s="4" t="s">
        <v>306</v>
      </c>
      <c r="Z174" s="4">
        <v>3</v>
      </c>
      <c r="AA174" s="4" t="s">
        <v>309</v>
      </c>
      <c r="AB174" s="4">
        <v>1</v>
      </c>
      <c r="AC174" s="4" t="s">
        <v>310</v>
      </c>
      <c r="AD174" s="6" t="s">
        <v>311</v>
      </c>
      <c r="AE174" s="12" t="s">
        <v>825</v>
      </c>
      <c r="AF174" s="12">
        <v>2.2999999999999998</v>
      </c>
      <c r="AG174" s="6"/>
      <c r="AI174" s="4">
        <v>1.8</v>
      </c>
      <c r="AJ174" s="4">
        <v>3.2</v>
      </c>
      <c r="AM174" s="10"/>
      <c r="AQ174" s="4">
        <v>0.2</v>
      </c>
      <c r="AS174" s="7">
        <f>AW174/AV174</f>
        <v>0.20938628158844766</v>
      </c>
      <c r="AV174" s="4">
        <v>277</v>
      </c>
      <c r="AW174" s="7">
        <v>58</v>
      </c>
      <c r="AX174" s="7">
        <v>58</v>
      </c>
      <c r="AY174" s="4">
        <v>98</v>
      </c>
      <c r="AZ174" s="4">
        <v>134</v>
      </c>
      <c r="BA174" s="4">
        <v>136</v>
      </c>
      <c r="BB174" s="4">
        <v>128</v>
      </c>
      <c r="BD174" s="4">
        <f t="shared" ref="BD174:BD176" si="101">BA174/AY174</f>
        <v>1.3877551020408163</v>
      </c>
      <c r="BE174" s="4">
        <f t="shared" ref="BE174:BE176" si="102">(AY174-BA174)/50</f>
        <v>-0.76</v>
      </c>
      <c r="BG174" s="7">
        <f>AY174/243</f>
        <v>0.40329218106995884</v>
      </c>
    </row>
    <row r="175" spans="1:59" s="1" customFormat="1" ht="19.5" customHeight="1" x14ac:dyDescent="0.2">
      <c r="A175" s="1" t="s">
        <v>167</v>
      </c>
      <c r="B175" s="1" t="s">
        <v>5</v>
      </c>
      <c r="C175" s="1" t="s">
        <v>251</v>
      </c>
      <c r="D175" s="1" t="s">
        <v>210</v>
      </c>
      <c r="F175" s="13"/>
      <c r="G175" s="12">
        <f t="shared" si="73"/>
        <v>4.1399999999999997</v>
      </c>
      <c r="H175" s="1">
        <v>4.18</v>
      </c>
      <c r="L175" s="1">
        <v>4.0999999999999996</v>
      </c>
      <c r="P175" s="1" t="s">
        <v>605</v>
      </c>
      <c r="Q175" s="1">
        <f>98/107</f>
        <v>0.91588785046728971</v>
      </c>
      <c r="R175" s="3"/>
      <c r="T175" s="1" t="s">
        <v>322</v>
      </c>
      <c r="U175" s="1" t="s">
        <v>319</v>
      </c>
      <c r="V175" s="1">
        <v>2</v>
      </c>
      <c r="W175" s="1" t="s">
        <v>318</v>
      </c>
      <c r="Y175" s="1" t="s">
        <v>15</v>
      </c>
      <c r="Z175" s="1">
        <v>2</v>
      </c>
      <c r="AA175" s="1" t="s">
        <v>321</v>
      </c>
      <c r="AB175" s="1">
        <v>1</v>
      </c>
      <c r="AC175" s="1" t="s">
        <v>316</v>
      </c>
      <c r="AD175" s="5" t="s">
        <v>317</v>
      </c>
      <c r="AE175" s="13" t="s">
        <v>820</v>
      </c>
      <c r="AF175" s="13"/>
      <c r="AG175" s="5"/>
      <c r="AI175" s="1">
        <v>3.5</v>
      </c>
      <c r="AJ175" s="1">
        <v>4.3</v>
      </c>
      <c r="AM175" s="2" t="s">
        <v>320</v>
      </c>
      <c r="AN175" s="3"/>
      <c r="AP175" s="15">
        <v>90</v>
      </c>
      <c r="AQ175" s="1">
        <v>1.5</v>
      </c>
      <c r="AR175" s="3">
        <v>1</v>
      </c>
      <c r="AS175" s="3">
        <v>1</v>
      </c>
      <c r="AT175" s="3"/>
      <c r="AU175" s="3"/>
      <c r="AV175" s="1">
        <v>148</v>
      </c>
      <c r="AW175" s="3"/>
      <c r="AX175" s="3"/>
      <c r="AY175" s="1">
        <v>100</v>
      </c>
      <c r="AZ175" s="1">
        <v>94</v>
      </c>
      <c r="BA175" s="1">
        <v>91</v>
      </c>
      <c r="BB175" s="1">
        <v>85</v>
      </c>
      <c r="BD175" s="1">
        <f t="shared" si="101"/>
        <v>0.91</v>
      </c>
      <c r="BE175" s="1">
        <f t="shared" si="102"/>
        <v>0.18</v>
      </c>
      <c r="BG175" s="3">
        <f>AY175/105</f>
        <v>0.95238095238095233</v>
      </c>
    </row>
    <row r="176" spans="1:59" ht="17.25" customHeight="1" x14ac:dyDescent="0.2">
      <c r="A176" s="4" t="s">
        <v>167</v>
      </c>
      <c r="B176" s="4" t="s">
        <v>323</v>
      </c>
      <c r="D176" s="4" t="s">
        <v>210</v>
      </c>
      <c r="F176" s="12"/>
      <c r="G176" s="12" t="e">
        <f t="shared" si="73"/>
        <v>#DIV/0!</v>
      </c>
      <c r="P176" s="4" t="s">
        <v>615</v>
      </c>
      <c r="Q176" s="4">
        <f>118.5/120</f>
        <v>0.98750000000000004</v>
      </c>
      <c r="R176" s="7">
        <f>104/118.5</f>
        <v>0.87763713080168781</v>
      </c>
      <c r="U176" s="4">
        <v>850</v>
      </c>
      <c r="V176" s="4">
        <v>2</v>
      </c>
      <c r="W176" s="4" t="s">
        <v>52</v>
      </c>
      <c r="Y176" s="4" t="s">
        <v>15</v>
      </c>
      <c r="Z176" s="4">
        <v>2</v>
      </c>
      <c r="AA176" s="4" t="s">
        <v>321</v>
      </c>
      <c r="AB176" s="4">
        <v>1</v>
      </c>
      <c r="AC176" s="4" t="s">
        <v>325</v>
      </c>
      <c r="AD176" s="6" t="s">
        <v>326</v>
      </c>
      <c r="AE176" s="12" t="s">
        <v>820</v>
      </c>
      <c r="AF176" s="12"/>
      <c r="AG176" s="6"/>
      <c r="AI176" s="4">
        <v>3.5</v>
      </c>
      <c r="AJ176" s="4">
        <v>4.3</v>
      </c>
      <c r="AM176" s="10"/>
      <c r="AP176" s="15">
        <v>1000</v>
      </c>
      <c r="AQ176" s="4">
        <v>1</v>
      </c>
      <c r="AR176" s="7">
        <v>0.16666666666666666</v>
      </c>
      <c r="AS176" s="7">
        <v>5</v>
      </c>
      <c r="AV176" s="4">
        <v>120</v>
      </c>
      <c r="AW176" s="7">
        <v>20</v>
      </c>
      <c r="AX176" s="7">
        <v>600</v>
      </c>
      <c r="AY176" s="4">
        <v>103</v>
      </c>
      <c r="AZ176" s="4">
        <v>108</v>
      </c>
      <c r="BA176" s="4">
        <v>99</v>
      </c>
      <c r="BC176" s="4" t="s">
        <v>327</v>
      </c>
      <c r="BD176" s="4">
        <f t="shared" si="101"/>
        <v>0.96116504854368934</v>
      </c>
      <c r="BE176" s="4">
        <f t="shared" si="102"/>
        <v>0.08</v>
      </c>
    </row>
    <row r="177" spans="1:59" s="1" customFormat="1" ht="19.5" customHeight="1" x14ac:dyDescent="0.2">
      <c r="A177" s="1" t="s">
        <v>167</v>
      </c>
      <c r="B177" s="1" t="s">
        <v>323</v>
      </c>
      <c r="D177" s="1" t="s">
        <v>210</v>
      </c>
      <c r="F177" s="13"/>
      <c r="G177" s="12" t="e">
        <f t="shared" si="73"/>
        <v>#DIV/0!</v>
      </c>
      <c r="Q177" s="1">
        <f>118.5/120</f>
        <v>0.98750000000000004</v>
      </c>
      <c r="R177" s="3">
        <f>104/118.5</f>
        <v>0.87763713080168781</v>
      </c>
      <c r="U177" s="1">
        <v>850</v>
      </c>
      <c r="V177" s="1">
        <v>2</v>
      </c>
      <c r="W177" s="1" t="s">
        <v>52</v>
      </c>
      <c r="Y177" s="1" t="s">
        <v>15</v>
      </c>
      <c r="Z177" s="1">
        <v>2</v>
      </c>
      <c r="AA177" s="1" t="s">
        <v>321</v>
      </c>
      <c r="AB177" s="1">
        <v>1</v>
      </c>
      <c r="AC177" s="1" t="s">
        <v>325</v>
      </c>
      <c r="AD177" s="5" t="s">
        <v>326</v>
      </c>
      <c r="AE177" s="13" t="s">
        <v>820</v>
      </c>
      <c r="AF177" s="13"/>
      <c r="AG177" s="5"/>
      <c r="AI177" s="1">
        <v>3.5</v>
      </c>
      <c r="AJ177" s="1">
        <v>4.3</v>
      </c>
      <c r="AM177" s="2"/>
      <c r="AN177" s="3"/>
      <c r="AP177" s="15">
        <v>1000</v>
      </c>
      <c r="AQ177" s="1">
        <v>1</v>
      </c>
      <c r="AR177" s="3">
        <v>0.16666666666666666</v>
      </c>
      <c r="AS177" s="3">
        <v>10</v>
      </c>
      <c r="AT177" s="3"/>
      <c r="AU177" s="3"/>
      <c r="AV177" s="1">
        <v>120</v>
      </c>
      <c r="AW177" s="3">
        <v>20</v>
      </c>
      <c r="AX177" s="3">
        <v>1200</v>
      </c>
      <c r="AY177" s="1">
        <v>99</v>
      </c>
      <c r="AZ177" s="1">
        <v>98</v>
      </c>
      <c r="BA177" s="1">
        <v>100</v>
      </c>
      <c r="BC177" s="1" t="s">
        <v>327</v>
      </c>
      <c r="BG177" s="3"/>
    </row>
    <row r="178" spans="1:59" ht="17.25" customHeight="1" x14ac:dyDescent="0.2">
      <c r="A178" s="4" t="s">
        <v>167</v>
      </c>
      <c r="B178" s="4" t="s">
        <v>324</v>
      </c>
      <c r="D178" s="4" t="s">
        <v>210</v>
      </c>
      <c r="F178" s="12"/>
      <c r="G178" s="12" t="e">
        <f t="shared" si="73"/>
        <v>#DIV/0!</v>
      </c>
      <c r="Q178" s="4">
        <f>109/112</f>
        <v>0.9732142857142857</v>
      </c>
      <c r="R178" s="7">
        <f>58.5/109</f>
        <v>0.53669724770642202</v>
      </c>
      <c r="U178" s="4">
        <v>850</v>
      </c>
      <c r="V178" s="4">
        <v>2</v>
      </c>
      <c r="W178" s="4" t="s">
        <v>427</v>
      </c>
      <c r="Y178" s="4" t="s">
        <v>15</v>
      </c>
      <c r="Z178" s="4">
        <v>2</v>
      </c>
      <c r="AA178" s="4" t="s">
        <v>321</v>
      </c>
      <c r="AB178" s="4">
        <v>1</v>
      </c>
      <c r="AC178" s="4" t="s">
        <v>325</v>
      </c>
      <c r="AD178" s="6" t="s">
        <v>326</v>
      </c>
      <c r="AE178" s="12" t="s">
        <v>820</v>
      </c>
      <c r="AF178" s="12"/>
      <c r="AG178" s="6"/>
      <c r="AI178" s="4">
        <v>3.5</v>
      </c>
      <c r="AJ178" s="4">
        <v>4.3</v>
      </c>
      <c r="AM178" s="10"/>
      <c r="AP178" s="15">
        <v>1000</v>
      </c>
      <c r="AQ178" s="4">
        <v>1</v>
      </c>
      <c r="AR178" s="7">
        <v>0.16666666666666666</v>
      </c>
      <c r="AS178" s="7">
        <v>5</v>
      </c>
      <c r="AV178" s="4">
        <v>120</v>
      </c>
      <c r="AW178" s="7">
        <v>20</v>
      </c>
      <c r="AX178" s="7">
        <v>600</v>
      </c>
      <c r="AY178" s="4">
        <v>88</v>
      </c>
      <c r="AZ178" s="4">
        <v>80</v>
      </c>
      <c r="BA178" s="4">
        <v>75</v>
      </c>
      <c r="BC178" s="4" t="s">
        <v>327</v>
      </c>
    </row>
    <row r="179" spans="1:59" s="1" customFormat="1" ht="19.5" customHeight="1" x14ac:dyDescent="0.2">
      <c r="A179" s="1" t="s">
        <v>167</v>
      </c>
      <c r="B179" s="1" t="s">
        <v>324</v>
      </c>
      <c r="D179" s="1" t="s">
        <v>210</v>
      </c>
      <c r="F179" s="13"/>
      <c r="G179" s="12" t="e">
        <f t="shared" si="73"/>
        <v>#DIV/0!</v>
      </c>
      <c r="Q179" s="1">
        <f>109/112</f>
        <v>0.9732142857142857</v>
      </c>
      <c r="R179" s="3">
        <f>58.5/109</f>
        <v>0.53669724770642202</v>
      </c>
      <c r="U179" s="1">
        <v>850</v>
      </c>
      <c r="V179" s="1">
        <v>2</v>
      </c>
      <c r="W179" s="1" t="s">
        <v>427</v>
      </c>
      <c r="Y179" s="1" t="s">
        <v>15</v>
      </c>
      <c r="Z179" s="1">
        <v>2</v>
      </c>
      <c r="AA179" s="1" t="s">
        <v>321</v>
      </c>
      <c r="AB179" s="1">
        <v>1</v>
      </c>
      <c r="AC179" s="1" t="s">
        <v>325</v>
      </c>
      <c r="AD179" s="5" t="s">
        <v>326</v>
      </c>
      <c r="AE179" s="13" t="s">
        <v>820</v>
      </c>
      <c r="AF179" s="13"/>
      <c r="AG179" s="5"/>
      <c r="AI179" s="1">
        <v>3.5</v>
      </c>
      <c r="AJ179" s="1">
        <v>4.3</v>
      </c>
      <c r="AM179" s="2"/>
      <c r="AN179" s="3"/>
      <c r="AP179" s="15">
        <v>1000</v>
      </c>
      <c r="AQ179" s="1">
        <v>1</v>
      </c>
      <c r="AR179" s="3">
        <v>0.16666666666666666</v>
      </c>
      <c r="AS179" s="3">
        <v>5</v>
      </c>
      <c r="AT179" s="3"/>
      <c r="AU179" s="3"/>
      <c r="AV179" s="1">
        <v>120</v>
      </c>
      <c r="AW179" s="3">
        <v>20</v>
      </c>
      <c r="AX179" s="3">
        <v>1200</v>
      </c>
      <c r="AY179" s="1">
        <v>81</v>
      </c>
      <c r="AZ179" s="1">
        <v>80</v>
      </c>
      <c r="BA179" s="1">
        <v>70</v>
      </c>
      <c r="BC179" s="1" t="s">
        <v>327</v>
      </c>
      <c r="BG179" s="3"/>
    </row>
    <row r="180" spans="1:59" ht="17.25" customHeight="1" x14ac:dyDescent="0.2">
      <c r="A180" s="4" t="s">
        <v>167</v>
      </c>
      <c r="B180" s="4" t="s">
        <v>329</v>
      </c>
      <c r="C180" s="4" t="s">
        <v>330</v>
      </c>
      <c r="F180" s="12">
        <v>4</v>
      </c>
      <c r="G180" s="12">
        <f t="shared" si="73"/>
        <v>3.7733333333333334</v>
      </c>
      <c r="H180" s="4">
        <v>3.2</v>
      </c>
      <c r="I180" s="4">
        <v>4.2</v>
      </c>
      <c r="L180" s="4">
        <v>3.92</v>
      </c>
      <c r="P180" s="4" t="s">
        <v>606</v>
      </c>
      <c r="R180" s="7">
        <f>115.4/122.8</f>
        <v>0.93973941368078184</v>
      </c>
      <c r="U180" s="4">
        <v>750</v>
      </c>
      <c r="V180" s="4">
        <v>2</v>
      </c>
      <c r="W180" s="4" t="s">
        <v>52</v>
      </c>
      <c r="Y180" s="4" t="s">
        <v>15</v>
      </c>
      <c r="Z180" s="4">
        <v>2</v>
      </c>
      <c r="AA180" s="4" t="s">
        <v>249</v>
      </c>
      <c r="AB180" s="4">
        <v>1</v>
      </c>
      <c r="AC180" s="4" t="s">
        <v>382</v>
      </c>
      <c r="AD180" s="6" t="s">
        <v>328</v>
      </c>
      <c r="AE180" s="12" t="s">
        <v>820</v>
      </c>
      <c r="AF180" s="12">
        <v>4</v>
      </c>
      <c r="AG180" s="6"/>
      <c r="AI180" s="4">
        <v>3</v>
      </c>
      <c r="AJ180" s="4">
        <v>4.4000000000000004</v>
      </c>
      <c r="AL180" s="4" t="s">
        <v>189</v>
      </c>
      <c r="AM180" s="10"/>
      <c r="AP180" s="15">
        <v>30</v>
      </c>
      <c r="AR180" s="7">
        <v>1</v>
      </c>
      <c r="AS180" s="7">
        <v>1</v>
      </c>
      <c r="AV180" s="4">
        <v>100</v>
      </c>
      <c r="AW180" s="7">
        <v>100</v>
      </c>
      <c r="AX180" s="7">
        <v>100</v>
      </c>
      <c r="AY180" s="4">
        <v>123</v>
      </c>
      <c r="AZ180" s="4">
        <v>113</v>
      </c>
      <c r="BA180" s="4">
        <v>109</v>
      </c>
      <c r="BD180" s="4">
        <f t="shared" ref="BD180:BD185" si="103">BA180/AY180</f>
        <v>0.88617886178861793</v>
      </c>
      <c r="BE180" s="4">
        <f t="shared" ref="BE180" si="104">(AY180-BA180)/50</f>
        <v>0.28000000000000003</v>
      </c>
    </row>
    <row r="181" spans="1:59" s="1" customFormat="1" ht="19.5" customHeight="1" x14ac:dyDescent="0.2">
      <c r="A181" s="1" t="s">
        <v>167</v>
      </c>
      <c r="B181" s="1" t="s">
        <v>5</v>
      </c>
      <c r="C181" s="1" t="s">
        <v>330</v>
      </c>
      <c r="F181" s="13">
        <v>4</v>
      </c>
      <c r="G181" s="12">
        <f t="shared" si="73"/>
        <v>4.0250000000000004</v>
      </c>
      <c r="H181" s="1">
        <v>4</v>
      </c>
      <c r="I181" s="1">
        <v>4.2</v>
      </c>
      <c r="L181" s="1">
        <v>3.9</v>
      </c>
      <c r="M181" s="1">
        <v>4</v>
      </c>
      <c r="R181" s="3">
        <f>85.6/96.9</f>
        <v>0.88338493292053655</v>
      </c>
      <c r="U181" s="1">
        <v>750</v>
      </c>
      <c r="V181" s="1">
        <v>2</v>
      </c>
      <c r="W181" s="1" t="s">
        <v>52</v>
      </c>
      <c r="Y181" s="1" t="s">
        <v>15</v>
      </c>
      <c r="Z181" s="1">
        <v>2</v>
      </c>
      <c r="AA181" s="1" t="s">
        <v>249</v>
      </c>
      <c r="AB181" s="1">
        <v>1</v>
      </c>
      <c r="AC181" s="1" t="s">
        <v>382</v>
      </c>
      <c r="AD181" s="5" t="s">
        <v>328</v>
      </c>
      <c r="AE181" s="13" t="s">
        <v>820</v>
      </c>
      <c r="AF181" s="13">
        <v>4</v>
      </c>
      <c r="AG181" s="5"/>
      <c r="AI181" s="1">
        <v>3</v>
      </c>
      <c r="AJ181" s="1">
        <v>4.4000000000000004</v>
      </c>
      <c r="AL181" s="1" t="s">
        <v>189</v>
      </c>
      <c r="AM181" s="2"/>
      <c r="AN181" s="3"/>
      <c r="AP181" s="15"/>
      <c r="AR181" s="3">
        <v>1</v>
      </c>
      <c r="AS181" s="3">
        <v>1</v>
      </c>
      <c r="AT181" s="3"/>
      <c r="AU181" s="3"/>
      <c r="AV181" s="1">
        <v>100</v>
      </c>
      <c r="AW181" s="3">
        <v>100</v>
      </c>
      <c r="AX181" s="3">
        <v>100</v>
      </c>
      <c r="AY181" s="1">
        <v>97</v>
      </c>
      <c r="AZ181" s="1">
        <v>90</v>
      </c>
      <c r="BA181" s="1">
        <v>87</v>
      </c>
      <c r="BD181" s="1">
        <f t="shared" si="103"/>
        <v>0.89690721649484539</v>
      </c>
      <c r="BE181" s="1">
        <f t="shared" ref="BE181:BE182" si="105">(AY181-BA181)/50</f>
        <v>0.2</v>
      </c>
      <c r="BG181" s="3"/>
    </row>
    <row r="182" spans="1:59" ht="17.25" customHeight="1" x14ac:dyDescent="0.2">
      <c r="A182" s="4" t="s">
        <v>167</v>
      </c>
      <c r="B182" s="4" t="s">
        <v>329</v>
      </c>
      <c r="C182" s="4" t="s">
        <v>330</v>
      </c>
      <c r="F182" s="12">
        <v>3.94</v>
      </c>
      <c r="G182" s="12" t="e">
        <f t="shared" si="73"/>
        <v>#DIV/0!</v>
      </c>
      <c r="R182" s="7">
        <f>115.4/122.8</f>
        <v>0.93973941368078184</v>
      </c>
      <c r="U182" s="4">
        <v>750</v>
      </c>
      <c r="V182" s="4">
        <v>2</v>
      </c>
      <c r="W182" s="4" t="s">
        <v>52</v>
      </c>
      <c r="Y182" s="4" t="s">
        <v>15</v>
      </c>
      <c r="Z182" s="4">
        <v>2</v>
      </c>
      <c r="AA182" s="4" t="s">
        <v>249</v>
      </c>
      <c r="AB182" s="4">
        <v>1</v>
      </c>
      <c r="AC182" s="4" t="s">
        <v>382</v>
      </c>
      <c r="AD182" s="6" t="s">
        <v>328</v>
      </c>
      <c r="AE182" s="12" t="s">
        <v>820</v>
      </c>
      <c r="AF182" s="12">
        <v>3.94</v>
      </c>
      <c r="AG182" s="6"/>
      <c r="AI182" s="4">
        <v>3</v>
      </c>
      <c r="AJ182" s="4">
        <v>4.4000000000000004</v>
      </c>
      <c r="AL182" s="4" t="s">
        <v>189</v>
      </c>
      <c r="AM182" s="10"/>
      <c r="AP182" s="15">
        <v>30</v>
      </c>
      <c r="AR182" s="7">
        <v>10</v>
      </c>
      <c r="AS182" s="7">
        <v>10</v>
      </c>
      <c r="AV182" s="4">
        <v>100</v>
      </c>
      <c r="AW182" s="7">
        <v>1000</v>
      </c>
      <c r="AX182" s="7">
        <v>1000</v>
      </c>
      <c r="AY182" s="4">
        <v>117</v>
      </c>
      <c r="AZ182" s="4">
        <v>107</v>
      </c>
      <c r="BA182" s="4">
        <v>106</v>
      </c>
      <c r="BD182" s="4">
        <f t="shared" si="103"/>
        <v>0.90598290598290598</v>
      </c>
      <c r="BE182" s="4">
        <f t="shared" si="105"/>
        <v>0.22</v>
      </c>
    </row>
    <row r="183" spans="1:59" s="1" customFormat="1" ht="19.5" customHeight="1" x14ac:dyDescent="0.2">
      <c r="A183" s="1" t="s">
        <v>167</v>
      </c>
      <c r="B183" s="1" t="s">
        <v>5</v>
      </c>
      <c r="C183" s="1" t="s">
        <v>330</v>
      </c>
      <c r="F183" s="13">
        <v>3.85</v>
      </c>
      <c r="G183" s="12" t="e">
        <f t="shared" si="73"/>
        <v>#DIV/0!</v>
      </c>
      <c r="R183" s="3">
        <f>85.6/96.9</f>
        <v>0.88338493292053655</v>
      </c>
      <c r="U183" s="1">
        <v>750</v>
      </c>
      <c r="V183" s="1">
        <v>2</v>
      </c>
      <c r="W183" s="1" t="s">
        <v>52</v>
      </c>
      <c r="Y183" s="1" t="s">
        <v>15</v>
      </c>
      <c r="Z183" s="1">
        <v>2</v>
      </c>
      <c r="AA183" s="1" t="s">
        <v>249</v>
      </c>
      <c r="AB183" s="1">
        <v>1</v>
      </c>
      <c r="AC183" s="1" t="s">
        <v>382</v>
      </c>
      <c r="AD183" s="5" t="s">
        <v>328</v>
      </c>
      <c r="AE183" s="13" t="s">
        <v>820</v>
      </c>
      <c r="AF183" s="13">
        <v>3.85</v>
      </c>
      <c r="AG183" s="5"/>
      <c r="AI183" s="1">
        <v>3</v>
      </c>
      <c r="AJ183" s="1">
        <v>4.4000000000000004</v>
      </c>
      <c r="AL183" s="1" t="s">
        <v>189</v>
      </c>
      <c r="AM183" s="2"/>
      <c r="AN183" s="3"/>
      <c r="AP183" s="15"/>
      <c r="AR183" s="3">
        <v>10</v>
      </c>
      <c r="AS183" s="3">
        <v>10</v>
      </c>
      <c r="AT183" s="3"/>
      <c r="AU183" s="3"/>
      <c r="AV183" s="1">
        <v>100</v>
      </c>
      <c r="AW183" s="3">
        <v>1000</v>
      </c>
      <c r="AX183" s="3">
        <v>1000</v>
      </c>
      <c r="AY183" s="1">
        <v>91</v>
      </c>
      <c r="AZ183" s="1">
        <v>75</v>
      </c>
      <c r="BA183" s="1">
        <v>71</v>
      </c>
      <c r="BD183" s="1">
        <f t="shared" si="103"/>
        <v>0.78021978021978022</v>
      </c>
      <c r="BE183" s="1">
        <f t="shared" ref="BE183" si="106">(AY183-BA183)/50</f>
        <v>0.4</v>
      </c>
      <c r="BG183" s="3"/>
    </row>
    <row r="184" spans="1:59" ht="17.25" customHeight="1" x14ac:dyDescent="0.2">
      <c r="A184" s="4" t="s">
        <v>167</v>
      </c>
      <c r="B184" s="4" t="s">
        <v>337</v>
      </c>
      <c r="C184" s="4" t="s">
        <v>333</v>
      </c>
      <c r="D184" s="4" t="s">
        <v>210</v>
      </c>
      <c r="F184" s="12">
        <v>2.8</v>
      </c>
      <c r="G184" s="12" t="e">
        <f t="shared" si="73"/>
        <v>#DIV/0!</v>
      </c>
      <c r="T184" s="4" t="s">
        <v>336</v>
      </c>
      <c r="V184" s="4">
        <v>5</v>
      </c>
      <c r="W184" s="4" t="s">
        <v>52</v>
      </c>
      <c r="Y184" s="4" t="s">
        <v>15</v>
      </c>
      <c r="Z184" s="4">
        <v>2</v>
      </c>
      <c r="AA184" s="4" t="s">
        <v>249</v>
      </c>
      <c r="AB184" s="4">
        <v>1</v>
      </c>
      <c r="AC184" s="4" t="s">
        <v>331</v>
      </c>
      <c r="AD184" s="6" t="s">
        <v>332</v>
      </c>
      <c r="AE184" s="12" t="s">
        <v>34</v>
      </c>
      <c r="AF184" s="12">
        <v>2.8</v>
      </c>
      <c r="AG184" s="6"/>
      <c r="AI184" s="4">
        <v>2</v>
      </c>
      <c r="AJ184" s="4">
        <v>4</v>
      </c>
      <c r="AL184" s="4" t="s">
        <v>335</v>
      </c>
      <c r="AM184" s="10"/>
      <c r="AP184" s="15">
        <v>100</v>
      </c>
      <c r="AQ184" s="4">
        <v>0.5</v>
      </c>
      <c r="AR184" s="7">
        <v>0.2</v>
      </c>
      <c r="AS184" s="7">
        <v>0.2</v>
      </c>
      <c r="AV184" s="4">
        <v>170</v>
      </c>
      <c r="AW184" s="7">
        <f t="shared" ref="AW184:AW185" si="107">AV184*AR184</f>
        <v>34</v>
      </c>
      <c r="AX184" s="7">
        <f t="shared" ref="AX184:AX185" si="108">AR184*AV184</f>
        <v>34</v>
      </c>
      <c r="AY184" s="4">
        <v>99</v>
      </c>
      <c r="AZ184" s="4">
        <v>102</v>
      </c>
      <c r="BA184" s="4">
        <v>103</v>
      </c>
      <c r="BC184" s="4" t="s">
        <v>334</v>
      </c>
      <c r="BD184" s="4">
        <f t="shared" si="103"/>
        <v>1.0404040404040404</v>
      </c>
      <c r="BE184" s="4">
        <f t="shared" ref="BE184:BE185" si="109">(AY184-BA184)/50</f>
        <v>-0.08</v>
      </c>
      <c r="BG184" s="7">
        <f>AY184/112</f>
        <v>0.8839285714285714</v>
      </c>
    </row>
    <row r="185" spans="1:59" s="1" customFormat="1" ht="19.5" customHeight="1" x14ac:dyDescent="0.2">
      <c r="A185" s="1" t="s">
        <v>167</v>
      </c>
      <c r="B185" s="1" t="s">
        <v>338</v>
      </c>
      <c r="C185" s="1" t="s">
        <v>333</v>
      </c>
      <c r="D185" s="1" t="s">
        <v>210</v>
      </c>
      <c r="F185" s="13"/>
      <c r="G185" s="12" t="e">
        <f t="shared" si="73"/>
        <v>#DIV/0!</v>
      </c>
      <c r="R185" s="3"/>
      <c r="T185" s="1" t="s">
        <v>803</v>
      </c>
      <c r="V185" s="1">
        <v>5</v>
      </c>
      <c r="W185" s="1" t="s">
        <v>52</v>
      </c>
      <c r="Y185" s="1" t="s">
        <v>15</v>
      </c>
      <c r="Z185" s="1">
        <v>2</v>
      </c>
      <c r="AA185" s="1" t="s">
        <v>249</v>
      </c>
      <c r="AB185" s="1">
        <v>1</v>
      </c>
      <c r="AC185" s="1" t="s">
        <v>331</v>
      </c>
      <c r="AD185" s="5" t="s">
        <v>332</v>
      </c>
      <c r="AE185" s="13" t="s">
        <v>34</v>
      </c>
      <c r="AF185" s="13"/>
      <c r="AG185" s="5"/>
      <c r="AI185" s="1">
        <v>2</v>
      </c>
      <c r="AJ185" s="1">
        <v>4</v>
      </c>
      <c r="AL185" s="1" t="s">
        <v>335</v>
      </c>
      <c r="AM185" s="2"/>
      <c r="AN185" s="3"/>
      <c r="AP185" s="15">
        <v>100</v>
      </c>
      <c r="AQ185" s="1">
        <v>0.5</v>
      </c>
      <c r="AR185" s="3">
        <v>0.2</v>
      </c>
      <c r="AS185" s="3">
        <v>0.2</v>
      </c>
      <c r="AT185" s="3"/>
      <c r="AU185" s="3"/>
      <c r="AV185" s="1">
        <v>170</v>
      </c>
      <c r="AW185" s="3">
        <f t="shared" si="107"/>
        <v>34</v>
      </c>
      <c r="AX185" s="3">
        <f t="shared" si="108"/>
        <v>34</v>
      </c>
      <c r="AY185" s="1">
        <v>80</v>
      </c>
      <c r="AZ185" s="1">
        <v>90</v>
      </c>
      <c r="BA185" s="1">
        <v>95</v>
      </c>
      <c r="BC185" s="1" t="s">
        <v>334</v>
      </c>
      <c r="BD185" s="1">
        <f t="shared" si="103"/>
        <v>1.1875</v>
      </c>
      <c r="BE185" s="1">
        <f t="shared" si="109"/>
        <v>-0.3</v>
      </c>
      <c r="BG185" s="3">
        <f>AY185/88</f>
        <v>0.90909090909090906</v>
      </c>
    </row>
    <row r="186" spans="1:59" ht="17.25" customHeight="1" x14ac:dyDescent="0.2">
      <c r="A186" s="4" t="s">
        <v>167</v>
      </c>
      <c r="B186" s="4" t="s">
        <v>343</v>
      </c>
      <c r="C186" s="4" t="s">
        <v>339</v>
      </c>
      <c r="D186" s="4" t="s">
        <v>210</v>
      </c>
      <c r="F186" s="12"/>
      <c r="G186" s="12">
        <f t="shared" si="73"/>
        <v>3.7</v>
      </c>
      <c r="H186" s="4">
        <v>3.89</v>
      </c>
      <c r="L186" s="4">
        <v>3.51</v>
      </c>
      <c r="V186" s="4">
        <v>4</v>
      </c>
      <c r="W186" s="4" t="s">
        <v>50</v>
      </c>
      <c r="Y186" s="4" t="s">
        <v>340</v>
      </c>
      <c r="Z186" s="4">
        <v>4</v>
      </c>
      <c r="AA186" s="4" t="s">
        <v>341</v>
      </c>
      <c r="AB186" s="4">
        <v>2</v>
      </c>
      <c r="AC186" s="4" t="s">
        <v>345</v>
      </c>
      <c r="AD186" s="6" t="s">
        <v>344</v>
      </c>
      <c r="AE186" s="12" t="s">
        <v>815</v>
      </c>
      <c r="AF186" s="12"/>
      <c r="AG186" s="6"/>
      <c r="AI186" s="4">
        <v>2</v>
      </c>
      <c r="AJ186" s="4">
        <v>4.4000000000000004</v>
      </c>
      <c r="AL186" s="4" t="s">
        <v>342</v>
      </c>
      <c r="AM186" s="10"/>
      <c r="AP186" s="15">
        <v>2000</v>
      </c>
      <c r="AQ186" s="4">
        <v>2</v>
      </c>
      <c r="AR186" s="7">
        <v>6.6666666666666666E-2</v>
      </c>
      <c r="AS186" s="7">
        <v>6.6666666666666666E-2</v>
      </c>
      <c r="AV186" s="4">
        <v>145</v>
      </c>
      <c r="AW186" s="7">
        <v>10</v>
      </c>
      <c r="AX186" s="7">
        <v>10</v>
      </c>
      <c r="AY186" s="4">
        <v>90</v>
      </c>
      <c r="AZ186" s="4">
        <v>85</v>
      </c>
    </row>
    <row r="187" spans="1:59" s="1" customFormat="1" ht="19.5" customHeight="1" x14ac:dyDescent="0.2">
      <c r="A187" s="1" t="s">
        <v>167</v>
      </c>
      <c r="B187" s="1" t="s">
        <v>93</v>
      </c>
      <c r="C187" s="1" t="s">
        <v>348</v>
      </c>
      <c r="D187" s="1" t="s">
        <v>210</v>
      </c>
      <c r="F187" s="13">
        <v>3.4</v>
      </c>
      <c r="G187" s="12">
        <f t="shared" si="73"/>
        <v>3.4000000000000004</v>
      </c>
      <c r="H187" s="1">
        <v>3.45</v>
      </c>
      <c r="L187" s="1">
        <v>3.35</v>
      </c>
      <c r="P187" s="1" t="s">
        <v>607</v>
      </c>
      <c r="Q187" s="1">
        <f>139/150</f>
        <v>0.92666666666666664</v>
      </c>
      <c r="R187" s="3"/>
      <c r="U187" s="1">
        <v>700</v>
      </c>
      <c r="V187" s="1">
        <v>5</v>
      </c>
      <c r="W187" s="1" t="s">
        <v>50</v>
      </c>
      <c r="Y187" s="1" t="s">
        <v>15</v>
      </c>
      <c r="Z187" s="1">
        <v>2</v>
      </c>
      <c r="AA187" s="1" t="s">
        <v>249</v>
      </c>
      <c r="AB187" s="1">
        <v>1</v>
      </c>
      <c r="AC187" s="1" t="s">
        <v>346</v>
      </c>
      <c r="AD187" s="5" t="s">
        <v>347</v>
      </c>
      <c r="AE187" s="13" t="s">
        <v>814</v>
      </c>
      <c r="AF187" s="13">
        <v>3.4</v>
      </c>
      <c r="AG187" s="5"/>
      <c r="AI187" s="1">
        <v>2.7</v>
      </c>
      <c r="AJ187" s="1">
        <v>4.0999999999999996</v>
      </c>
      <c r="AM187" s="2" t="s">
        <v>349</v>
      </c>
      <c r="AN187" s="3"/>
      <c r="AP187" s="15">
        <v>1000</v>
      </c>
      <c r="AQ187" s="1" t="s">
        <v>625</v>
      </c>
      <c r="AR187" s="3">
        <v>0.5</v>
      </c>
      <c r="AS187" s="3">
        <v>0.5</v>
      </c>
      <c r="AT187" s="3"/>
      <c r="AU187" s="3"/>
      <c r="AV187" s="1">
        <v>170</v>
      </c>
      <c r="AW187" s="3">
        <f>0.5*AV187</f>
        <v>85</v>
      </c>
      <c r="AX187" s="3">
        <f>AS187*AV187</f>
        <v>85</v>
      </c>
      <c r="AY187" s="1">
        <v>117</v>
      </c>
      <c r="AZ187" s="1">
        <v>140</v>
      </c>
      <c r="BA187" s="1">
        <v>140</v>
      </c>
      <c r="BB187" s="1">
        <v>140</v>
      </c>
      <c r="BD187" s="1">
        <f>BA187/AY187</f>
        <v>1.1965811965811965</v>
      </c>
      <c r="BE187" s="1">
        <f t="shared" ref="BE187" si="110">(AY187-BA187)/50</f>
        <v>-0.46</v>
      </c>
      <c r="BG187" s="3"/>
    </row>
    <row r="188" spans="1:59" ht="17.25" customHeight="1" x14ac:dyDescent="0.2">
      <c r="A188" s="4">
        <v>25</v>
      </c>
      <c r="B188" s="4" t="s">
        <v>92</v>
      </c>
      <c r="C188" s="4" t="s">
        <v>354</v>
      </c>
      <c r="D188" s="4" t="s">
        <v>351</v>
      </c>
      <c r="F188" s="12">
        <v>3.8</v>
      </c>
      <c r="G188" s="12" t="e">
        <f t="shared" si="73"/>
        <v>#DIV/0!</v>
      </c>
      <c r="P188" s="4" t="s">
        <v>608</v>
      </c>
      <c r="Q188" s="4">
        <f>40/134</f>
        <v>0.29850746268656714</v>
      </c>
      <c r="T188" s="4" t="s">
        <v>356</v>
      </c>
      <c r="V188" s="4">
        <v>2</v>
      </c>
      <c r="W188" s="4" t="s">
        <v>352</v>
      </c>
      <c r="Y188" s="4" t="s">
        <v>15</v>
      </c>
      <c r="Z188" s="4">
        <v>2</v>
      </c>
      <c r="AA188" s="4" t="s">
        <v>249</v>
      </c>
      <c r="AB188" s="4">
        <v>1</v>
      </c>
      <c r="AC188" s="4" t="s">
        <v>350</v>
      </c>
      <c r="AD188" s="6" t="s">
        <v>357</v>
      </c>
      <c r="AE188" s="12" t="s">
        <v>814</v>
      </c>
      <c r="AF188" s="12">
        <v>3.8</v>
      </c>
      <c r="AG188" s="6"/>
      <c r="AI188" s="4">
        <v>2</v>
      </c>
      <c r="AJ188" s="4">
        <v>4.5</v>
      </c>
      <c r="AL188" s="4" t="s">
        <v>353</v>
      </c>
      <c r="AM188" s="10" t="s">
        <v>355</v>
      </c>
      <c r="AP188" s="15">
        <v>230</v>
      </c>
      <c r="AQ188" s="4">
        <v>0.23</v>
      </c>
      <c r="AR188" s="7">
        <v>2.2222222222222223E-2</v>
      </c>
      <c r="AS188" s="7">
        <v>2.2222222222222223E-2</v>
      </c>
      <c r="AT188" s="7">
        <f>7+54.9+64+31</f>
        <v>156.9</v>
      </c>
      <c r="AU188" s="7">
        <f>96485.3/3600/AT188</f>
        <v>0.17081881594787904</v>
      </c>
      <c r="AW188" s="7">
        <v>3.78</v>
      </c>
      <c r="AX188" s="7">
        <v>3.78</v>
      </c>
      <c r="AY188" s="4">
        <v>136</v>
      </c>
      <c r="AZ188" s="4">
        <v>133</v>
      </c>
      <c r="BD188" s="4">
        <f t="shared" ref="BD188:BD251" si="111">BA188/AY188</f>
        <v>0</v>
      </c>
      <c r="BE188" s="4">
        <f t="shared" ref="BE188:BE251" si="112">(AY188-BA188)/50</f>
        <v>2.72</v>
      </c>
    </row>
    <row r="189" spans="1:59" s="1" customFormat="1" ht="19.5" customHeight="1" x14ac:dyDescent="0.2">
      <c r="A189" s="1">
        <v>25</v>
      </c>
      <c r="B189" s="1" t="s">
        <v>358</v>
      </c>
      <c r="C189" s="1" t="s">
        <v>354</v>
      </c>
      <c r="D189" s="1" t="s">
        <v>351</v>
      </c>
      <c r="F189" s="13"/>
      <c r="G189" s="12" t="e">
        <f t="shared" si="73"/>
        <v>#DIV/0!</v>
      </c>
      <c r="P189" s="1" t="s">
        <v>608</v>
      </c>
      <c r="Q189" s="1">
        <f>78/139</f>
        <v>0.5611510791366906</v>
      </c>
      <c r="R189" s="3"/>
      <c r="T189" s="1" t="s">
        <v>356</v>
      </c>
      <c r="V189" s="1">
        <v>2</v>
      </c>
      <c r="W189" s="1" t="s">
        <v>352</v>
      </c>
      <c r="Y189" s="1" t="s">
        <v>15</v>
      </c>
      <c r="Z189" s="1">
        <v>2</v>
      </c>
      <c r="AA189" s="1" t="s">
        <v>249</v>
      </c>
      <c r="AB189" s="1">
        <v>1</v>
      </c>
      <c r="AC189" s="1" t="s">
        <v>350</v>
      </c>
      <c r="AD189" s="5" t="s">
        <v>357</v>
      </c>
      <c r="AE189" s="13" t="s">
        <v>814</v>
      </c>
      <c r="AF189" s="13"/>
      <c r="AG189" s="5"/>
      <c r="AI189" s="1">
        <v>2</v>
      </c>
      <c r="AJ189" s="1">
        <v>4.5</v>
      </c>
      <c r="AL189" s="1" t="s">
        <v>353</v>
      </c>
      <c r="AM189" s="2" t="s">
        <v>355</v>
      </c>
      <c r="AN189" s="3"/>
      <c r="AP189" s="15">
        <v>230</v>
      </c>
      <c r="AQ189" s="1">
        <v>0.23</v>
      </c>
      <c r="AR189" s="3">
        <v>2.2222222222222223E-2</v>
      </c>
      <c r="AS189" s="3">
        <v>2.2222222222222223E-2</v>
      </c>
      <c r="AT189" s="3"/>
      <c r="AU189" s="3"/>
      <c r="AW189" s="3">
        <v>3.78</v>
      </c>
      <c r="AX189" s="3">
        <v>3.78</v>
      </c>
      <c r="AY189" s="1">
        <v>140</v>
      </c>
      <c r="AZ189" s="1">
        <v>136</v>
      </c>
      <c r="BD189" s="1">
        <f t="shared" si="111"/>
        <v>0</v>
      </c>
      <c r="BE189" s="1">
        <f t="shared" si="112"/>
        <v>2.8</v>
      </c>
      <c r="BG189" s="3"/>
    </row>
    <row r="190" spans="1:59" ht="17.25" customHeight="1" x14ac:dyDescent="0.2">
      <c r="A190" s="4">
        <v>25</v>
      </c>
      <c r="B190" s="4" t="s">
        <v>359</v>
      </c>
      <c r="C190" s="4" t="s">
        <v>354</v>
      </c>
      <c r="D190" s="4" t="s">
        <v>351</v>
      </c>
      <c r="F190" s="12"/>
      <c r="G190" s="12" t="e">
        <f t="shared" si="73"/>
        <v>#DIV/0!</v>
      </c>
      <c r="P190" s="4" t="s">
        <v>608</v>
      </c>
      <c r="Q190" s="4">
        <f>56/128</f>
        <v>0.4375</v>
      </c>
      <c r="T190" s="4" t="s">
        <v>356</v>
      </c>
      <c r="V190" s="4">
        <v>2</v>
      </c>
      <c r="W190" s="4" t="s">
        <v>352</v>
      </c>
      <c r="Y190" s="4" t="s">
        <v>15</v>
      </c>
      <c r="Z190" s="4">
        <v>2</v>
      </c>
      <c r="AA190" s="4" t="s">
        <v>249</v>
      </c>
      <c r="AB190" s="4">
        <v>1</v>
      </c>
      <c r="AC190" s="4" t="s">
        <v>350</v>
      </c>
      <c r="AD190" s="6" t="s">
        <v>357</v>
      </c>
      <c r="AE190" s="12" t="s">
        <v>814</v>
      </c>
      <c r="AF190" s="12"/>
      <c r="AG190" s="6"/>
      <c r="AI190" s="4">
        <v>2</v>
      </c>
      <c r="AJ190" s="4">
        <v>4.5</v>
      </c>
      <c r="AL190" s="4" t="s">
        <v>353</v>
      </c>
      <c r="AM190" s="10" t="s">
        <v>355</v>
      </c>
      <c r="AP190" s="15">
        <v>230</v>
      </c>
      <c r="AQ190" s="4">
        <v>0.23</v>
      </c>
      <c r="AR190" s="7">
        <v>2.2222222222222223E-2</v>
      </c>
      <c r="AS190" s="7">
        <v>2.2222222222222223E-2</v>
      </c>
      <c r="AW190" s="7">
        <v>3.78</v>
      </c>
      <c r="AX190" s="7">
        <v>3.78</v>
      </c>
      <c r="AY190" s="4">
        <v>130</v>
      </c>
      <c r="AZ190" s="4">
        <v>124</v>
      </c>
      <c r="BD190" s="4">
        <f t="shared" si="111"/>
        <v>0</v>
      </c>
      <c r="BE190" s="4">
        <f t="shared" si="112"/>
        <v>2.6</v>
      </c>
    </row>
    <row r="191" spans="1:59" s="1" customFormat="1" ht="19.5" customHeight="1" x14ac:dyDescent="0.2">
      <c r="A191" s="1">
        <v>25</v>
      </c>
      <c r="B191" s="1" t="s">
        <v>360</v>
      </c>
      <c r="C191" s="1" t="s">
        <v>354</v>
      </c>
      <c r="D191" s="1" t="s">
        <v>351</v>
      </c>
      <c r="F191" s="13"/>
      <c r="G191" s="12" t="e">
        <f t="shared" si="73"/>
        <v>#DIV/0!</v>
      </c>
      <c r="P191" s="1" t="s">
        <v>608</v>
      </c>
      <c r="Q191" s="1">
        <f>32/109</f>
        <v>0.29357798165137616</v>
      </c>
      <c r="R191" s="3"/>
      <c r="T191" s="1" t="s">
        <v>356</v>
      </c>
      <c r="V191" s="1">
        <v>2</v>
      </c>
      <c r="W191" s="1" t="s">
        <v>352</v>
      </c>
      <c r="Y191" s="1" t="s">
        <v>15</v>
      </c>
      <c r="Z191" s="1">
        <v>2</v>
      </c>
      <c r="AA191" s="1" t="s">
        <v>249</v>
      </c>
      <c r="AB191" s="1">
        <v>1</v>
      </c>
      <c r="AC191" s="1" t="s">
        <v>350</v>
      </c>
      <c r="AD191" s="5" t="s">
        <v>357</v>
      </c>
      <c r="AE191" s="13" t="s">
        <v>814</v>
      </c>
      <c r="AF191" s="13"/>
      <c r="AG191" s="5"/>
      <c r="AI191" s="1">
        <v>2</v>
      </c>
      <c r="AJ191" s="1">
        <v>4.5</v>
      </c>
      <c r="AL191" s="1" t="s">
        <v>353</v>
      </c>
      <c r="AM191" s="2" t="s">
        <v>355</v>
      </c>
      <c r="AN191" s="3"/>
      <c r="AP191" s="15">
        <v>230</v>
      </c>
      <c r="AQ191" s="1">
        <v>0.23</v>
      </c>
      <c r="AR191" s="3">
        <v>2.2222222222222223E-2</v>
      </c>
      <c r="AS191" s="3">
        <v>2.2222222222222223E-2</v>
      </c>
      <c r="AT191" s="3"/>
      <c r="AU191" s="3"/>
      <c r="AW191" s="3">
        <v>3.78</v>
      </c>
      <c r="AX191" s="3">
        <v>3.78</v>
      </c>
      <c r="AY191" s="1">
        <v>120</v>
      </c>
      <c r="AZ191" s="1">
        <v>112</v>
      </c>
      <c r="BD191" s="1">
        <f t="shared" si="111"/>
        <v>0</v>
      </c>
      <c r="BE191" s="1">
        <f t="shared" si="112"/>
        <v>2.4</v>
      </c>
      <c r="BG191" s="3"/>
    </row>
    <row r="192" spans="1:59" ht="17.25" customHeight="1" x14ac:dyDescent="0.2">
      <c r="A192" s="4">
        <v>23</v>
      </c>
      <c r="B192" s="4" t="s">
        <v>88</v>
      </c>
      <c r="C192" s="4" t="s">
        <v>362</v>
      </c>
      <c r="D192" s="4" t="s">
        <v>210</v>
      </c>
      <c r="F192" s="12"/>
      <c r="G192" s="12" t="e">
        <f t="shared" si="73"/>
        <v>#DIV/0!</v>
      </c>
      <c r="V192" s="4">
        <v>4</v>
      </c>
      <c r="W192" s="4" t="s">
        <v>361</v>
      </c>
      <c r="Y192" s="4" t="s">
        <v>82</v>
      </c>
      <c r="Z192" s="4">
        <v>1</v>
      </c>
      <c r="AA192" s="4" t="s">
        <v>363</v>
      </c>
      <c r="AB192" s="4">
        <v>1</v>
      </c>
      <c r="AC192" s="4" t="s">
        <v>364</v>
      </c>
      <c r="AD192" s="6" t="s">
        <v>365</v>
      </c>
      <c r="AE192" s="12" t="s">
        <v>828</v>
      </c>
      <c r="AF192" s="12"/>
      <c r="AG192" s="6"/>
      <c r="AI192" s="4">
        <v>3</v>
      </c>
      <c r="AJ192" s="4">
        <v>4.4000000000000004</v>
      </c>
      <c r="AM192" s="10"/>
      <c r="AR192" s="7">
        <v>0.14285714285714285</v>
      </c>
      <c r="AS192" s="7">
        <v>0.14285714285714285</v>
      </c>
      <c r="AV192" s="4">
        <v>155</v>
      </c>
      <c r="AW192" s="7">
        <f t="shared" ref="AW192:AW197" si="113">AV192*AR192</f>
        <v>22.142857142857142</v>
      </c>
      <c r="AX192" s="7">
        <f t="shared" ref="AX192:AX197" si="114">AR192*AV192</f>
        <v>22.142857142857142</v>
      </c>
      <c r="AY192" s="4">
        <v>135</v>
      </c>
      <c r="AZ192" s="4">
        <v>129</v>
      </c>
      <c r="BA192" s="4">
        <v>127</v>
      </c>
      <c r="BD192" s="4">
        <f t="shared" si="111"/>
        <v>0.94074074074074077</v>
      </c>
      <c r="BE192" s="4">
        <f t="shared" si="112"/>
        <v>0.16</v>
      </c>
    </row>
    <row r="193" spans="1:59" s="1" customFormat="1" ht="19.5" customHeight="1" x14ac:dyDescent="0.2">
      <c r="A193" s="1">
        <v>23</v>
      </c>
      <c r="B193" s="1" t="s">
        <v>366</v>
      </c>
      <c r="C193" s="1" t="s">
        <v>362</v>
      </c>
      <c r="D193" s="1" t="s">
        <v>210</v>
      </c>
      <c r="F193" s="13"/>
      <c r="G193" s="12" t="e">
        <f t="shared" si="73"/>
        <v>#DIV/0!</v>
      </c>
      <c r="R193" s="3"/>
      <c r="V193" s="1">
        <v>4</v>
      </c>
      <c r="W193" s="1" t="s">
        <v>361</v>
      </c>
      <c r="Y193" s="1" t="s">
        <v>82</v>
      </c>
      <c r="Z193" s="1">
        <v>1</v>
      </c>
      <c r="AA193" s="1" t="s">
        <v>363</v>
      </c>
      <c r="AB193" s="1">
        <v>1</v>
      </c>
      <c r="AC193" s="1" t="s">
        <v>364</v>
      </c>
      <c r="AD193" s="5" t="s">
        <v>365</v>
      </c>
      <c r="AE193" s="13" t="s">
        <v>828</v>
      </c>
      <c r="AF193" s="13"/>
      <c r="AG193" s="5"/>
      <c r="AI193" s="1">
        <v>3</v>
      </c>
      <c r="AJ193" s="1">
        <v>4.4000000000000004</v>
      </c>
      <c r="AM193" s="2"/>
      <c r="AN193" s="3"/>
      <c r="AP193" s="15"/>
      <c r="AR193" s="3">
        <v>0.14285714285714285</v>
      </c>
      <c r="AS193" s="3">
        <v>0.14285714285714285</v>
      </c>
      <c r="AT193" s="3"/>
      <c r="AU193" s="3"/>
      <c r="AV193" s="1">
        <v>142</v>
      </c>
      <c r="AW193" s="3">
        <f t="shared" si="113"/>
        <v>20.285714285714285</v>
      </c>
      <c r="AX193" s="3">
        <f t="shared" si="114"/>
        <v>20.285714285714285</v>
      </c>
      <c r="AY193" s="1">
        <v>123</v>
      </c>
      <c r="AZ193" s="1">
        <v>118</v>
      </c>
      <c r="BA193" s="1">
        <v>112</v>
      </c>
      <c r="BD193" s="1">
        <f t="shared" si="111"/>
        <v>0.91056910569105687</v>
      </c>
      <c r="BE193" s="1">
        <f t="shared" si="112"/>
        <v>0.22</v>
      </c>
      <c r="BG193" s="3"/>
    </row>
    <row r="194" spans="1:59" ht="17.25" customHeight="1" x14ac:dyDescent="0.2">
      <c r="A194" s="4">
        <v>23</v>
      </c>
      <c r="B194" s="4" t="s">
        <v>367</v>
      </c>
      <c r="C194" s="4" t="s">
        <v>362</v>
      </c>
      <c r="D194" s="4" t="s">
        <v>210</v>
      </c>
      <c r="F194" s="12"/>
      <c r="G194" s="12" t="e">
        <f t="shared" si="73"/>
        <v>#DIV/0!</v>
      </c>
      <c r="V194" s="4">
        <v>4</v>
      </c>
      <c r="W194" s="4" t="s">
        <v>361</v>
      </c>
      <c r="Y194" s="4" t="s">
        <v>82</v>
      </c>
      <c r="Z194" s="4">
        <v>1</v>
      </c>
      <c r="AA194" s="4" t="s">
        <v>363</v>
      </c>
      <c r="AB194" s="4">
        <v>1</v>
      </c>
      <c r="AC194" s="4" t="s">
        <v>364</v>
      </c>
      <c r="AD194" s="6" t="s">
        <v>365</v>
      </c>
      <c r="AE194" s="12" t="s">
        <v>828</v>
      </c>
      <c r="AF194" s="12"/>
      <c r="AG194" s="6"/>
      <c r="AI194" s="4">
        <v>3</v>
      </c>
      <c r="AJ194" s="4">
        <v>4.4000000000000004</v>
      </c>
      <c r="AM194" s="10"/>
      <c r="AR194" s="7">
        <v>0.14285714285714285</v>
      </c>
      <c r="AS194" s="7">
        <v>0.14285714285714285</v>
      </c>
      <c r="AV194" s="4">
        <v>121</v>
      </c>
      <c r="AW194" s="7">
        <f t="shared" si="113"/>
        <v>17.285714285714285</v>
      </c>
      <c r="AX194" s="7">
        <f t="shared" si="114"/>
        <v>17.285714285714285</v>
      </c>
      <c r="AY194" s="4">
        <v>98</v>
      </c>
      <c r="AZ194" s="4">
        <v>95</v>
      </c>
      <c r="BA194" s="4">
        <v>95</v>
      </c>
      <c r="BD194" s="4">
        <f t="shared" si="111"/>
        <v>0.96938775510204078</v>
      </c>
      <c r="BE194" s="4">
        <f t="shared" si="112"/>
        <v>0.06</v>
      </c>
    </row>
    <row r="195" spans="1:59" s="1" customFormat="1" ht="19.5" customHeight="1" x14ac:dyDescent="0.2">
      <c r="A195" s="1">
        <v>23</v>
      </c>
      <c r="B195" s="1" t="s">
        <v>368</v>
      </c>
      <c r="C195" s="1" t="s">
        <v>362</v>
      </c>
      <c r="D195" s="1" t="s">
        <v>210</v>
      </c>
      <c r="F195" s="13"/>
      <c r="G195" s="12">
        <f t="shared" si="73"/>
        <v>4.1850000000000005</v>
      </c>
      <c r="H195" s="1">
        <v>4.2</v>
      </c>
      <c r="L195" s="1">
        <v>4.17</v>
      </c>
      <c r="R195" s="3"/>
      <c r="V195" s="1">
        <v>4</v>
      </c>
      <c r="W195" s="1" t="s">
        <v>361</v>
      </c>
      <c r="Y195" s="1" t="s">
        <v>82</v>
      </c>
      <c r="Z195" s="1">
        <v>1</v>
      </c>
      <c r="AA195" s="1" t="s">
        <v>363</v>
      </c>
      <c r="AB195" s="1">
        <v>1</v>
      </c>
      <c r="AC195" s="1" t="s">
        <v>364</v>
      </c>
      <c r="AD195" s="5" t="s">
        <v>365</v>
      </c>
      <c r="AE195" s="13" t="s">
        <v>828</v>
      </c>
      <c r="AF195" s="13"/>
      <c r="AG195" s="5"/>
      <c r="AI195" s="1">
        <v>3</v>
      </c>
      <c r="AJ195" s="1">
        <v>4.4000000000000004</v>
      </c>
      <c r="AM195" s="2"/>
      <c r="AN195" s="3"/>
      <c r="AP195" s="15"/>
      <c r="AR195" s="3">
        <v>0.14285714285714285</v>
      </c>
      <c r="AS195" s="3">
        <v>0.14285714285714285</v>
      </c>
      <c r="AT195" s="3"/>
      <c r="AU195" s="3"/>
      <c r="AV195" s="1">
        <v>84</v>
      </c>
      <c r="AW195" s="3">
        <f t="shared" si="113"/>
        <v>12</v>
      </c>
      <c r="AX195" s="3">
        <f t="shared" si="114"/>
        <v>12</v>
      </c>
      <c r="AY195" s="1">
        <v>71</v>
      </c>
      <c r="AZ195" s="1">
        <v>70</v>
      </c>
      <c r="BA195" s="1">
        <v>69</v>
      </c>
      <c r="BD195" s="1">
        <f t="shared" si="111"/>
        <v>0.971830985915493</v>
      </c>
      <c r="BE195" s="1">
        <f t="shared" si="112"/>
        <v>0.04</v>
      </c>
      <c r="BG195" s="3"/>
    </row>
    <row r="196" spans="1:59" ht="17.25" customHeight="1" x14ac:dyDescent="0.2">
      <c r="A196" s="4">
        <v>23</v>
      </c>
      <c r="B196" s="4" t="s">
        <v>366</v>
      </c>
      <c r="C196" s="4" t="s">
        <v>362</v>
      </c>
      <c r="D196" s="4" t="s">
        <v>210</v>
      </c>
      <c r="F196" s="12"/>
      <c r="G196" s="12" t="e">
        <f t="shared" si="73"/>
        <v>#DIV/0!</v>
      </c>
      <c r="V196" s="4">
        <v>4</v>
      </c>
      <c r="W196" s="4" t="s">
        <v>361</v>
      </c>
      <c r="Y196" s="4" t="s">
        <v>82</v>
      </c>
      <c r="Z196" s="4">
        <v>1</v>
      </c>
      <c r="AA196" s="4" t="s">
        <v>363</v>
      </c>
      <c r="AB196" s="4">
        <v>1</v>
      </c>
      <c r="AC196" s="4" t="s">
        <v>364</v>
      </c>
      <c r="AD196" s="6" t="s">
        <v>365</v>
      </c>
      <c r="AE196" s="12" t="s">
        <v>828</v>
      </c>
      <c r="AF196" s="12"/>
      <c r="AG196" s="6"/>
      <c r="AI196" s="4">
        <v>3</v>
      </c>
      <c r="AJ196" s="4">
        <v>4.4000000000000004</v>
      </c>
      <c r="AM196" s="10"/>
      <c r="AR196" s="7">
        <v>0.5</v>
      </c>
      <c r="AS196" s="7">
        <v>0.5</v>
      </c>
      <c r="AV196" s="4">
        <v>142</v>
      </c>
      <c r="AW196" s="7">
        <f t="shared" si="113"/>
        <v>71</v>
      </c>
      <c r="AX196" s="7">
        <f t="shared" si="114"/>
        <v>71</v>
      </c>
      <c r="AY196" s="4">
        <v>114</v>
      </c>
      <c r="AZ196" s="4">
        <v>111</v>
      </c>
      <c r="BA196" s="4">
        <v>108</v>
      </c>
      <c r="BD196" s="4">
        <f t="shared" si="111"/>
        <v>0.94736842105263153</v>
      </c>
      <c r="BE196" s="4">
        <f t="shared" si="112"/>
        <v>0.12</v>
      </c>
    </row>
    <row r="197" spans="1:59" s="1" customFormat="1" ht="19.5" customHeight="1" x14ac:dyDescent="0.2">
      <c r="A197" s="1">
        <v>23</v>
      </c>
      <c r="B197" s="1" t="s">
        <v>366</v>
      </c>
      <c r="C197" s="1" t="s">
        <v>362</v>
      </c>
      <c r="D197" s="1" t="s">
        <v>210</v>
      </c>
      <c r="F197" s="13"/>
      <c r="G197" s="12" t="e">
        <f t="shared" si="73"/>
        <v>#DIV/0!</v>
      </c>
      <c r="R197" s="3"/>
      <c r="V197" s="1">
        <v>4</v>
      </c>
      <c r="W197" s="1" t="s">
        <v>361</v>
      </c>
      <c r="Y197" s="1" t="s">
        <v>82</v>
      </c>
      <c r="Z197" s="1">
        <v>1</v>
      </c>
      <c r="AA197" s="1" t="s">
        <v>363</v>
      </c>
      <c r="AB197" s="1">
        <v>1</v>
      </c>
      <c r="AC197" s="1" t="s">
        <v>364</v>
      </c>
      <c r="AD197" s="5" t="s">
        <v>365</v>
      </c>
      <c r="AE197" s="13" t="s">
        <v>828</v>
      </c>
      <c r="AF197" s="13"/>
      <c r="AG197" s="5"/>
      <c r="AI197" s="1">
        <v>3</v>
      </c>
      <c r="AJ197" s="1">
        <v>4.4000000000000004</v>
      </c>
      <c r="AM197" s="2"/>
      <c r="AN197" s="3"/>
      <c r="AP197" s="15"/>
      <c r="AR197" s="3">
        <v>1</v>
      </c>
      <c r="AS197" s="3">
        <v>1</v>
      </c>
      <c r="AT197" s="3"/>
      <c r="AU197" s="3"/>
      <c r="AV197" s="1">
        <v>142</v>
      </c>
      <c r="AW197" s="3">
        <f t="shared" si="113"/>
        <v>142</v>
      </c>
      <c r="AX197" s="3">
        <f t="shared" si="114"/>
        <v>142</v>
      </c>
      <c r="AY197" s="1">
        <v>104</v>
      </c>
      <c r="AZ197" s="1">
        <v>102</v>
      </c>
      <c r="BA197" s="1">
        <v>100</v>
      </c>
      <c r="BD197" s="1">
        <f t="shared" si="111"/>
        <v>0.96153846153846156</v>
      </c>
      <c r="BE197" s="1">
        <f t="shared" si="112"/>
        <v>0.08</v>
      </c>
      <c r="BG197" s="3"/>
    </row>
    <row r="198" spans="1:59" ht="17.25" customHeight="1" x14ac:dyDescent="0.2">
      <c r="A198" s="4" t="s">
        <v>167</v>
      </c>
      <c r="B198" s="4" t="s">
        <v>375</v>
      </c>
      <c r="C198" s="4" t="s">
        <v>372</v>
      </c>
      <c r="D198" s="4" t="s">
        <v>210</v>
      </c>
      <c r="F198" s="12"/>
      <c r="G198" s="12" t="e">
        <f t="shared" si="73"/>
        <v>#DIV/0!</v>
      </c>
      <c r="P198" s="4" t="s">
        <v>609</v>
      </c>
      <c r="Q198" s="4">
        <f>104/121</f>
        <v>0.85950413223140498</v>
      </c>
      <c r="U198" s="4">
        <v>600</v>
      </c>
      <c r="V198" s="4">
        <v>1</v>
      </c>
      <c r="W198" s="4" t="s">
        <v>371</v>
      </c>
      <c r="Y198" s="4" t="s">
        <v>15</v>
      </c>
      <c r="Z198" s="4">
        <v>2</v>
      </c>
      <c r="AA198" s="4" t="s">
        <v>374</v>
      </c>
      <c r="AB198" s="4">
        <v>1</v>
      </c>
      <c r="AC198" s="4" t="s">
        <v>369</v>
      </c>
      <c r="AD198" s="6" t="s">
        <v>370</v>
      </c>
      <c r="AE198" s="12" t="s">
        <v>814</v>
      </c>
      <c r="AF198" s="12"/>
      <c r="AG198" s="6"/>
      <c r="AI198" s="4">
        <v>2.5</v>
      </c>
      <c r="AJ198" s="4">
        <v>5.3</v>
      </c>
      <c r="AL198" s="4" t="s">
        <v>373</v>
      </c>
      <c r="AM198" s="10" t="s">
        <v>355</v>
      </c>
      <c r="AR198" s="7">
        <v>0.2</v>
      </c>
      <c r="AS198" s="7">
        <v>0.2</v>
      </c>
      <c r="AV198" s="4">
        <v>170</v>
      </c>
      <c r="AW198" s="7">
        <v>34</v>
      </c>
      <c r="AX198" s="7">
        <v>34</v>
      </c>
      <c r="AY198" s="4">
        <v>119</v>
      </c>
      <c r="AZ198" s="4">
        <v>120</v>
      </c>
      <c r="BA198" s="4">
        <v>120</v>
      </c>
      <c r="BB198" s="4">
        <v>118</v>
      </c>
      <c r="BD198" s="4">
        <f t="shared" si="111"/>
        <v>1.0084033613445378</v>
      </c>
      <c r="BE198" s="4">
        <f t="shared" si="112"/>
        <v>-0.02</v>
      </c>
    </row>
    <row r="199" spans="1:59" s="1" customFormat="1" ht="19.5" customHeight="1" x14ac:dyDescent="0.2">
      <c r="A199" s="1" t="s">
        <v>167</v>
      </c>
      <c r="B199" s="1" t="s">
        <v>379</v>
      </c>
      <c r="C199" s="1" t="s">
        <v>376</v>
      </c>
      <c r="D199" s="1" t="s">
        <v>210</v>
      </c>
      <c r="F199" s="13">
        <v>2.7</v>
      </c>
      <c r="G199" s="12">
        <f t="shared" ref="G199:G262" si="115">AVERAGE(H199:O199)</f>
        <v>2.9</v>
      </c>
      <c r="H199" s="1">
        <v>3</v>
      </c>
      <c r="L199" s="1">
        <v>2.8</v>
      </c>
      <c r="R199" s="3"/>
      <c r="U199" s="1">
        <v>700</v>
      </c>
      <c r="V199" s="1">
        <v>5</v>
      </c>
      <c r="W199" s="1" t="s">
        <v>260</v>
      </c>
      <c r="Y199" s="1" t="s">
        <v>15</v>
      </c>
      <c r="Z199" s="1">
        <v>2</v>
      </c>
      <c r="AA199" s="1" t="s">
        <v>42</v>
      </c>
      <c r="AC199" s="1" t="s">
        <v>377</v>
      </c>
      <c r="AD199" s="5" t="s">
        <v>378</v>
      </c>
      <c r="AE199" s="13"/>
      <c r="AF199" s="13">
        <v>2.7</v>
      </c>
      <c r="AG199" s="5"/>
      <c r="AI199" s="1">
        <v>2</v>
      </c>
      <c r="AJ199" s="1">
        <v>4.2</v>
      </c>
      <c r="AM199" s="2"/>
      <c r="AN199" s="3"/>
      <c r="AP199" s="15">
        <v>30</v>
      </c>
      <c r="AQ199" s="1">
        <v>0.5</v>
      </c>
      <c r="AR199" s="3">
        <v>0.05</v>
      </c>
      <c r="AS199" s="3">
        <v>0.05</v>
      </c>
      <c r="AT199" s="3"/>
      <c r="AU199" s="3"/>
      <c r="AV199" s="1">
        <v>331</v>
      </c>
      <c r="AW199" s="3">
        <f t="shared" ref="AW199:AW200" si="116">AV199*AR199</f>
        <v>16.55</v>
      </c>
      <c r="AX199" s="3">
        <f t="shared" ref="AX199:AX200" si="117">AR199*AV199</f>
        <v>16.55</v>
      </c>
      <c r="AY199" s="1">
        <v>76</v>
      </c>
      <c r="AZ199" s="1">
        <v>65</v>
      </c>
      <c r="BA199" s="1">
        <v>63</v>
      </c>
      <c r="BB199" s="1">
        <v>60</v>
      </c>
      <c r="BC199" s="1" t="s">
        <v>380</v>
      </c>
      <c r="BD199" s="1">
        <f t="shared" si="111"/>
        <v>0.82894736842105265</v>
      </c>
      <c r="BE199" s="1">
        <f t="shared" si="112"/>
        <v>0.26</v>
      </c>
      <c r="BG199" s="3"/>
    </row>
    <row r="200" spans="1:59" ht="17.25" customHeight="1" x14ac:dyDescent="0.2">
      <c r="A200" s="4" t="s">
        <v>167</v>
      </c>
      <c r="B200" s="4" t="s">
        <v>381</v>
      </c>
      <c r="C200" s="4" t="s">
        <v>376</v>
      </c>
      <c r="D200" s="4" t="s">
        <v>210</v>
      </c>
      <c r="F200" s="12"/>
      <c r="G200" s="12">
        <f t="shared" si="115"/>
        <v>3.375</v>
      </c>
      <c r="H200" s="4">
        <v>4</v>
      </c>
      <c r="L200" s="4">
        <v>2.75</v>
      </c>
      <c r="U200" s="4">
        <v>700</v>
      </c>
      <c r="V200" s="4">
        <v>2</v>
      </c>
      <c r="W200" s="4" t="s">
        <v>260</v>
      </c>
      <c r="Y200" s="4" t="s">
        <v>15</v>
      </c>
      <c r="Z200" s="4">
        <v>2</v>
      </c>
      <c r="AA200" s="4" t="s">
        <v>42</v>
      </c>
      <c r="AC200" s="4" t="s">
        <v>377</v>
      </c>
      <c r="AD200" s="6" t="s">
        <v>378</v>
      </c>
      <c r="AE200" s="12"/>
      <c r="AF200" s="12"/>
      <c r="AG200" s="6"/>
      <c r="AI200" s="4">
        <v>2</v>
      </c>
      <c r="AJ200" s="4">
        <v>4.2</v>
      </c>
      <c r="AM200" s="10"/>
      <c r="AP200" s="15">
        <v>30</v>
      </c>
      <c r="AQ200" s="4">
        <v>0.5</v>
      </c>
      <c r="AR200" s="7">
        <v>0.05</v>
      </c>
      <c r="AS200" s="7">
        <v>0.05</v>
      </c>
      <c r="AV200" s="4">
        <v>333</v>
      </c>
      <c r="AW200" s="7">
        <f t="shared" si="116"/>
        <v>16.650000000000002</v>
      </c>
      <c r="AX200" s="7">
        <f t="shared" si="117"/>
        <v>16.650000000000002</v>
      </c>
      <c r="AY200" s="4">
        <v>126</v>
      </c>
      <c r="AZ200" s="4">
        <v>73</v>
      </c>
      <c r="BA200" s="4">
        <v>59</v>
      </c>
      <c r="BC200" s="4" t="s">
        <v>334</v>
      </c>
      <c r="BD200" s="4">
        <f t="shared" si="111"/>
        <v>0.46825396825396826</v>
      </c>
      <c r="BE200" s="4">
        <f t="shared" si="112"/>
        <v>1.34</v>
      </c>
    </row>
    <row r="201" spans="1:59" s="1" customFormat="1" ht="19.5" customHeight="1" x14ac:dyDescent="0.2">
      <c r="A201" s="1" t="s">
        <v>167</v>
      </c>
      <c r="B201" s="1" t="s">
        <v>93</v>
      </c>
      <c r="C201" s="1" t="s">
        <v>386</v>
      </c>
      <c r="D201" s="1" t="s">
        <v>210</v>
      </c>
      <c r="F201" s="13"/>
      <c r="G201" s="12">
        <f t="shared" si="115"/>
        <v>3.5</v>
      </c>
      <c r="H201" s="1">
        <v>3.5</v>
      </c>
      <c r="L201" s="1">
        <v>3.5</v>
      </c>
      <c r="P201" s="1" t="s">
        <v>610</v>
      </c>
      <c r="R201" s="3"/>
      <c r="T201" s="1" t="s">
        <v>387</v>
      </c>
      <c r="V201" s="1">
        <v>5</v>
      </c>
      <c r="W201" s="1" t="s">
        <v>50</v>
      </c>
      <c r="Y201" s="1" t="s">
        <v>15</v>
      </c>
      <c r="Z201" s="1">
        <v>2</v>
      </c>
      <c r="AA201" s="1" t="s">
        <v>249</v>
      </c>
      <c r="AB201" s="1">
        <v>1</v>
      </c>
      <c r="AC201" s="1" t="s">
        <v>383</v>
      </c>
      <c r="AD201" s="5" t="s">
        <v>384</v>
      </c>
      <c r="AE201" s="13" t="s">
        <v>814</v>
      </c>
      <c r="AF201" s="13"/>
      <c r="AG201" s="5"/>
      <c r="AI201" s="1">
        <v>2.2000000000000002</v>
      </c>
      <c r="AJ201" s="1">
        <v>4.5</v>
      </c>
      <c r="AL201" s="1" t="s">
        <v>385</v>
      </c>
      <c r="AM201" s="2"/>
      <c r="AN201" s="3"/>
      <c r="AP201" s="15"/>
      <c r="AR201" s="3">
        <v>1</v>
      </c>
      <c r="AS201" s="3">
        <v>1</v>
      </c>
      <c r="AT201" s="3"/>
      <c r="AU201" s="3"/>
      <c r="AV201" s="1">
        <v>170</v>
      </c>
      <c r="AW201" s="3">
        <v>170</v>
      </c>
      <c r="AX201" s="3">
        <v>170</v>
      </c>
      <c r="AY201" s="1">
        <v>84</v>
      </c>
      <c r="AZ201" s="1">
        <v>93</v>
      </c>
      <c r="BA201" s="1">
        <v>90</v>
      </c>
      <c r="BB201" s="1">
        <v>90</v>
      </c>
      <c r="BD201" s="1">
        <f t="shared" si="111"/>
        <v>1.0714285714285714</v>
      </c>
      <c r="BE201" s="1">
        <f t="shared" si="112"/>
        <v>-0.12</v>
      </c>
      <c r="BG201" s="3"/>
    </row>
    <row r="202" spans="1:59" ht="17.25" customHeight="1" x14ac:dyDescent="0.2">
      <c r="A202" s="4" t="s">
        <v>167</v>
      </c>
      <c r="B202" s="4" t="s">
        <v>93</v>
      </c>
      <c r="C202" s="4" t="s">
        <v>386</v>
      </c>
      <c r="D202" s="4" t="s">
        <v>210</v>
      </c>
      <c r="F202" s="12"/>
      <c r="G202" s="12" t="e">
        <f t="shared" si="115"/>
        <v>#DIV/0!</v>
      </c>
      <c r="T202" s="4" t="s">
        <v>390</v>
      </c>
      <c r="V202" s="4">
        <v>5</v>
      </c>
      <c r="W202" s="4" t="s">
        <v>50</v>
      </c>
      <c r="Y202" s="4" t="s">
        <v>15</v>
      </c>
      <c r="Z202" s="4">
        <v>2</v>
      </c>
      <c r="AA202" s="4" t="s">
        <v>249</v>
      </c>
      <c r="AB202" s="4">
        <v>1</v>
      </c>
      <c r="AC202" s="4" t="s">
        <v>383</v>
      </c>
      <c r="AD202" s="6" t="s">
        <v>384</v>
      </c>
      <c r="AE202" s="12" t="s">
        <v>814</v>
      </c>
      <c r="AF202" s="12"/>
      <c r="AG202" s="6"/>
      <c r="AI202" s="4">
        <v>2.2000000000000002</v>
      </c>
      <c r="AJ202" s="4">
        <v>4.5</v>
      </c>
      <c r="AL202" s="4" t="s">
        <v>385</v>
      </c>
      <c r="AM202" s="10"/>
      <c r="AR202" s="7">
        <v>1</v>
      </c>
      <c r="AS202" s="7">
        <v>1</v>
      </c>
      <c r="AV202" s="4">
        <v>170</v>
      </c>
      <c r="AW202" s="7">
        <v>170</v>
      </c>
      <c r="AX202" s="7">
        <v>170</v>
      </c>
      <c r="AY202" s="4">
        <v>100</v>
      </c>
      <c r="AZ202" s="4">
        <v>108</v>
      </c>
      <c r="BA202" s="4">
        <v>107</v>
      </c>
      <c r="BB202" s="4">
        <v>105</v>
      </c>
      <c r="BD202" s="4">
        <f t="shared" si="111"/>
        <v>1.07</v>
      </c>
      <c r="BE202" s="4">
        <f t="shared" si="112"/>
        <v>-0.14000000000000001</v>
      </c>
    </row>
    <row r="203" spans="1:59" s="1" customFormat="1" ht="19.5" customHeight="1" x14ac:dyDescent="0.2">
      <c r="A203" s="1" t="s">
        <v>167</v>
      </c>
      <c r="B203" s="1" t="s">
        <v>93</v>
      </c>
      <c r="C203" s="1" t="s">
        <v>386</v>
      </c>
      <c r="D203" s="1" t="s">
        <v>210</v>
      </c>
      <c r="F203" s="13"/>
      <c r="G203" s="12" t="e">
        <f t="shared" si="115"/>
        <v>#DIV/0!</v>
      </c>
      <c r="R203" s="3"/>
      <c r="T203" s="1" t="s">
        <v>391</v>
      </c>
      <c r="V203" s="1">
        <v>5</v>
      </c>
      <c r="W203" s="1" t="s">
        <v>50</v>
      </c>
      <c r="Y203" s="1" t="s">
        <v>15</v>
      </c>
      <c r="Z203" s="1">
        <v>2</v>
      </c>
      <c r="AA203" s="1" t="s">
        <v>249</v>
      </c>
      <c r="AB203" s="1">
        <v>1</v>
      </c>
      <c r="AC203" s="1" t="s">
        <v>383</v>
      </c>
      <c r="AD203" s="5" t="s">
        <v>384</v>
      </c>
      <c r="AE203" s="13" t="s">
        <v>814</v>
      </c>
      <c r="AF203" s="13"/>
      <c r="AG203" s="5"/>
      <c r="AI203" s="1">
        <v>2.2000000000000002</v>
      </c>
      <c r="AJ203" s="1">
        <v>4.5</v>
      </c>
      <c r="AL203" s="1" t="s">
        <v>385</v>
      </c>
      <c r="AM203" s="2"/>
      <c r="AN203" s="3"/>
      <c r="AP203" s="15"/>
      <c r="AR203" s="3">
        <v>1</v>
      </c>
      <c r="AS203" s="3">
        <v>1</v>
      </c>
      <c r="AT203" s="3"/>
      <c r="AU203" s="3"/>
      <c r="AV203" s="1">
        <v>170</v>
      </c>
      <c r="AW203" s="3">
        <v>170</v>
      </c>
      <c r="AX203" s="3">
        <v>170</v>
      </c>
      <c r="AY203" s="1">
        <v>115</v>
      </c>
      <c r="AZ203" s="1">
        <v>130</v>
      </c>
      <c r="BA203" s="1">
        <v>129</v>
      </c>
      <c r="BB203" s="1">
        <v>100</v>
      </c>
      <c r="BD203" s="1">
        <f t="shared" si="111"/>
        <v>1.1217391304347826</v>
      </c>
      <c r="BE203" s="1">
        <f t="shared" si="112"/>
        <v>-0.28000000000000003</v>
      </c>
      <c r="BG203" s="3"/>
    </row>
    <row r="204" spans="1:59" ht="17.25" customHeight="1" x14ac:dyDescent="0.2">
      <c r="A204" s="4" t="s">
        <v>167</v>
      </c>
      <c r="B204" s="4" t="s">
        <v>93</v>
      </c>
      <c r="C204" s="4" t="s">
        <v>386</v>
      </c>
      <c r="D204" s="4" t="s">
        <v>210</v>
      </c>
      <c r="F204" s="12">
        <v>3.4</v>
      </c>
      <c r="G204" s="12" t="e">
        <f t="shared" si="115"/>
        <v>#DIV/0!</v>
      </c>
      <c r="Q204" s="4">
        <f>126/160</f>
        <v>0.78749999999999998</v>
      </c>
      <c r="T204" s="4" t="s">
        <v>392</v>
      </c>
      <c r="V204" s="4">
        <v>5</v>
      </c>
      <c r="W204" s="4" t="s">
        <v>50</v>
      </c>
      <c r="Y204" s="4" t="s">
        <v>15</v>
      </c>
      <c r="Z204" s="4">
        <v>2</v>
      </c>
      <c r="AA204" s="4" t="s">
        <v>249</v>
      </c>
      <c r="AB204" s="4">
        <v>1</v>
      </c>
      <c r="AC204" s="4" t="s">
        <v>383</v>
      </c>
      <c r="AD204" s="6" t="s">
        <v>384</v>
      </c>
      <c r="AE204" s="12" t="s">
        <v>814</v>
      </c>
      <c r="AF204" s="12">
        <v>3.4</v>
      </c>
      <c r="AG204" s="6"/>
      <c r="AI204" s="4">
        <v>2.2000000000000002</v>
      </c>
      <c r="AJ204" s="4">
        <v>4.5</v>
      </c>
      <c r="AL204" s="4" t="s">
        <v>385</v>
      </c>
      <c r="AM204" s="10"/>
      <c r="AR204" s="7">
        <v>1</v>
      </c>
      <c r="AS204" s="7">
        <v>1</v>
      </c>
      <c r="AV204" s="4">
        <v>170</v>
      </c>
      <c r="AW204" s="7">
        <v>170</v>
      </c>
      <c r="AX204" s="7">
        <v>170</v>
      </c>
      <c r="AY204" s="4">
        <v>126</v>
      </c>
      <c r="AZ204" s="4">
        <v>126</v>
      </c>
      <c r="BA204" s="4">
        <v>128</v>
      </c>
      <c r="BD204" s="4">
        <f t="shared" si="111"/>
        <v>1.0158730158730158</v>
      </c>
      <c r="BE204" s="4">
        <f t="shared" si="112"/>
        <v>-0.04</v>
      </c>
    </row>
    <row r="205" spans="1:59" s="1" customFormat="1" ht="19.5" customHeight="1" x14ac:dyDescent="0.2">
      <c r="A205" s="1" t="s">
        <v>167</v>
      </c>
      <c r="B205" s="1" t="s">
        <v>393</v>
      </c>
      <c r="C205" s="1" t="s">
        <v>398</v>
      </c>
      <c r="D205" s="1" t="s">
        <v>351</v>
      </c>
      <c r="F205" s="13">
        <v>4</v>
      </c>
      <c r="G205" s="12" t="e">
        <f t="shared" si="115"/>
        <v>#DIV/0!</v>
      </c>
      <c r="P205" s="1" t="s">
        <v>611</v>
      </c>
      <c r="Q205" s="1">
        <f>123/138</f>
        <v>0.89130434782608692</v>
      </c>
      <c r="R205" s="3"/>
      <c r="T205" s="1" t="s">
        <v>396</v>
      </c>
      <c r="U205" s="1" t="s">
        <v>397</v>
      </c>
      <c r="V205" s="1">
        <v>2</v>
      </c>
      <c r="W205" s="1" t="s">
        <v>52</v>
      </c>
      <c r="Y205" s="1" t="s">
        <v>15</v>
      </c>
      <c r="Z205" s="1">
        <v>2</v>
      </c>
      <c r="AA205" s="1" t="s">
        <v>321</v>
      </c>
      <c r="AB205" s="1">
        <v>1</v>
      </c>
      <c r="AC205" s="1" t="s">
        <v>394</v>
      </c>
      <c r="AD205" s="5" t="s">
        <v>395</v>
      </c>
      <c r="AE205" s="13" t="s">
        <v>814</v>
      </c>
      <c r="AF205" s="13">
        <v>4</v>
      </c>
      <c r="AG205" s="5"/>
      <c r="AI205" s="1">
        <v>2.7</v>
      </c>
      <c r="AJ205" s="1">
        <v>4.5</v>
      </c>
      <c r="AL205" s="1" t="s">
        <v>399</v>
      </c>
      <c r="AM205" s="2"/>
      <c r="AN205" s="3"/>
      <c r="AP205" s="15">
        <v>100</v>
      </c>
      <c r="AQ205" s="1">
        <v>0.2</v>
      </c>
      <c r="AR205" s="3">
        <v>0.05</v>
      </c>
      <c r="AS205" s="3">
        <v>0.5</v>
      </c>
      <c r="AT205" s="3"/>
      <c r="AU205" s="3"/>
      <c r="AV205" s="1">
        <v>170</v>
      </c>
      <c r="AW205" s="3">
        <f t="shared" ref="AW205:AW206" si="118">AV205*AR205</f>
        <v>8.5</v>
      </c>
      <c r="AX205" s="3">
        <f t="shared" ref="AX205:AX206" si="119">AR205*AV205</f>
        <v>8.5</v>
      </c>
      <c r="AY205" s="1">
        <f>342/2.6</f>
        <v>131.53846153846155</v>
      </c>
      <c r="AZ205" s="1">
        <f>324/2.6</f>
        <v>124.61538461538461</v>
      </c>
      <c r="BA205" s="1">
        <f>322/2.6</f>
        <v>123.84615384615384</v>
      </c>
      <c r="BD205" s="1">
        <f t="shared" si="111"/>
        <v>0.9415204678362572</v>
      </c>
      <c r="BE205" s="1">
        <f t="shared" si="112"/>
        <v>0.15384615384615416</v>
      </c>
      <c r="BG205" s="3"/>
    </row>
    <row r="206" spans="1:59" ht="17.25" customHeight="1" x14ac:dyDescent="0.2">
      <c r="A206" s="4" t="s">
        <v>167</v>
      </c>
      <c r="B206" s="4" t="s">
        <v>393</v>
      </c>
      <c r="C206" s="4" t="s">
        <v>398</v>
      </c>
      <c r="D206" s="4" t="s">
        <v>351</v>
      </c>
      <c r="F206" s="12">
        <v>4.0999999999999996</v>
      </c>
      <c r="G206" s="12" t="e">
        <f t="shared" si="115"/>
        <v>#DIV/0!</v>
      </c>
      <c r="P206" s="4" t="s">
        <v>612</v>
      </c>
      <c r="Q206" s="4">
        <f>139/163</f>
        <v>0.85276073619631898</v>
      </c>
      <c r="T206" s="4" t="s">
        <v>807</v>
      </c>
      <c r="V206" s="4">
        <v>2</v>
      </c>
      <c r="Y206" s="4" t="s">
        <v>15</v>
      </c>
      <c r="Z206" s="4">
        <v>2</v>
      </c>
      <c r="AA206" s="4" t="s">
        <v>321</v>
      </c>
      <c r="AB206" s="4">
        <v>1</v>
      </c>
      <c r="AC206" s="4" t="s">
        <v>394</v>
      </c>
      <c r="AD206" s="6" t="s">
        <v>395</v>
      </c>
      <c r="AE206" s="12" t="s">
        <v>814</v>
      </c>
      <c r="AF206" s="12">
        <v>4.0999999999999996</v>
      </c>
      <c r="AG206" s="6"/>
      <c r="AI206" s="4">
        <v>2.7</v>
      </c>
      <c r="AJ206" s="4">
        <v>4.5</v>
      </c>
      <c r="AL206" s="4" t="s">
        <v>399</v>
      </c>
      <c r="AM206" s="10"/>
      <c r="AR206" s="7">
        <v>0.05</v>
      </c>
      <c r="AS206" s="7">
        <v>0.5</v>
      </c>
      <c r="AV206" s="4">
        <v>170</v>
      </c>
      <c r="AW206" s="7">
        <f t="shared" si="118"/>
        <v>8.5</v>
      </c>
      <c r="AX206" s="7">
        <f t="shared" si="119"/>
        <v>8.5</v>
      </c>
      <c r="AY206" s="4">
        <f>242/1.6</f>
        <v>151.25</v>
      </c>
      <c r="AZ206" s="4">
        <f>230/1.6</f>
        <v>143.75</v>
      </c>
      <c r="BA206" s="4">
        <f>226/1.6</f>
        <v>141.25</v>
      </c>
      <c r="BD206" s="4">
        <f t="shared" si="111"/>
        <v>0.93388429752066116</v>
      </c>
      <c r="BE206" s="4">
        <f t="shared" si="112"/>
        <v>0.2</v>
      </c>
    </row>
    <row r="207" spans="1:59" s="1" customFormat="1" ht="19.5" customHeight="1" x14ac:dyDescent="0.2">
      <c r="A207" s="1" t="s">
        <v>167</v>
      </c>
      <c r="B207" s="1" t="s">
        <v>381</v>
      </c>
      <c r="D207" s="1" t="s">
        <v>210</v>
      </c>
      <c r="F207" s="14">
        <v>2.8</v>
      </c>
      <c r="G207" s="14">
        <f t="shared" si="115"/>
        <v>4.3</v>
      </c>
      <c r="H207" s="1">
        <v>4.3</v>
      </c>
      <c r="L207" s="1">
        <v>4.3</v>
      </c>
      <c r="R207" s="3"/>
      <c r="U207" s="1" t="s">
        <v>402</v>
      </c>
      <c r="V207" s="1">
        <v>2</v>
      </c>
      <c r="W207" s="1" t="s">
        <v>50</v>
      </c>
      <c r="Z207" s="1">
        <v>2</v>
      </c>
      <c r="AB207" s="1">
        <v>1</v>
      </c>
      <c r="AC207" s="1" t="s">
        <v>400</v>
      </c>
      <c r="AD207" s="5" t="s">
        <v>401</v>
      </c>
      <c r="AE207" s="13" t="s">
        <v>823</v>
      </c>
      <c r="AF207" s="13">
        <v>2.8</v>
      </c>
      <c r="AG207" s="5"/>
      <c r="AI207" s="1">
        <v>1.5</v>
      </c>
      <c r="AJ207" s="1">
        <v>4.8</v>
      </c>
      <c r="AM207" s="2"/>
      <c r="AN207" s="3"/>
      <c r="AP207" s="15">
        <v>25</v>
      </c>
      <c r="AQ207" s="1">
        <v>0.03</v>
      </c>
      <c r="AR207" s="3">
        <v>0.05</v>
      </c>
      <c r="AS207" s="3">
        <v>0.05</v>
      </c>
      <c r="AT207" s="3"/>
      <c r="AU207" s="3"/>
      <c r="AW207" s="3">
        <v>333</v>
      </c>
      <c r="AX207" s="3">
        <v>333</v>
      </c>
      <c r="AY207" s="1">
        <v>160</v>
      </c>
      <c r="AZ207" s="1">
        <v>136</v>
      </c>
      <c r="BA207" s="1">
        <v>115</v>
      </c>
      <c r="BD207" s="1">
        <f t="shared" si="111"/>
        <v>0.71875</v>
      </c>
      <c r="BE207" s="1">
        <f t="shared" si="112"/>
        <v>0.9</v>
      </c>
      <c r="BG207" s="3">
        <f>161/274</f>
        <v>0.58759124087591241</v>
      </c>
    </row>
    <row r="208" spans="1:59" ht="17.25" customHeight="1" x14ac:dyDescent="0.2">
      <c r="A208" s="4" t="s">
        <v>167</v>
      </c>
      <c r="B208" s="4" t="s">
        <v>409</v>
      </c>
      <c r="C208" s="4" t="s">
        <v>407</v>
      </c>
      <c r="D208" s="4" t="s">
        <v>210</v>
      </c>
      <c r="F208" s="14">
        <v>2.2999999999999998</v>
      </c>
      <c r="G208" s="14">
        <f t="shared" si="115"/>
        <v>4.4000000000000004</v>
      </c>
      <c r="H208" s="4">
        <v>4.4000000000000004</v>
      </c>
      <c r="L208" s="4">
        <v>4.4000000000000004</v>
      </c>
      <c r="U208" s="4">
        <v>750</v>
      </c>
      <c r="V208" s="4">
        <v>2</v>
      </c>
      <c r="W208" s="4" t="s">
        <v>406</v>
      </c>
      <c r="Y208" s="4" t="s">
        <v>15</v>
      </c>
      <c r="Z208" s="4">
        <v>2</v>
      </c>
      <c r="AA208" s="4" t="s">
        <v>249</v>
      </c>
      <c r="AB208" s="4">
        <v>1</v>
      </c>
      <c r="AC208" s="4" t="s">
        <v>403</v>
      </c>
      <c r="AD208" s="6" t="s">
        <v>404</v>
      </c>
      <c r="AE208" s="12"/>
      <c r="AF208" s="12">
        <v>2.2999999999999998</v>
      </c>
      <c r="AG208" s="6"/>
      <c r="AI208" s="4">
        <v>1.25</v>
      </c>
      <c r="AJ208" s="4">
        <v>4.8</v>
      </c>
      <c r="AL208" s="4" t="s">
        <v>405</v>
      </c>
      <c r="AM208" s="10" t="s">
        <v>194</v>
      </c>
      <c r="AP208" s="15">
        <v>50</v>
      </c>
      <c r="AQ208" s="4">
        <v>7.0000000000000007E-2</v>
      </c>
      <c r="AR208" s="7">
        <v>0.05</v>
      </c>
      <c r="AS208" s="7">
        <v>0.05</v>
      </c>
      <c r="AT208" s="7">
        <f>7+54.9+11+3*16</f>
        <v>120.9</v>
      </c>
      <c r="AU208" s="7">
        <f>96485.3/3600/AT208</f>
        <v>0.22168297950556015</v>
      </c>
      <c r="AV208" s="4">
        <v>221</v>
      </c>
      <c r="AW208" s="7">
        <f t="shared" ref="AW208:AW209" si="120">AV208*AR208</f>
        <v>11.05</v>
      </c>
      <c r="AX208" s="7">
        <f t="shared" ref="AX208:AX209" si="121">AR208*AV208</f>
        <v>11.05</v>
      </c>
      <c r="AY208" s="4">
        <v>58</v>
      </c>
      <c r="AZ208" s="4">
        <v>72</v>
      </c>
      <c r="BD208" s="4">
        <f t="shared" si="111"/>
        <v>0</v>
      </c>
      <c r="BE208" s="4">
        <f t="shared" si="112"/>
        <v>1.1599999999999999</v>
      </c>
      <c r="BG208" s="7">
        <f>58/102</f>
        <v>0.56862745098039214</v>
      </c>
    </row>
    <row r="209" spans="1:59" s="1" customFormat="1" ht="19.5" customHeight="1" x14ac:dyDescent="0.2">
      <c r="A209" s="1" t="s">
        <v>167</v>
      </c>
      <c r="B209" s="1" t="s">
        <v>408</v>
      </c>
      <c r="C209" s="1" t="s">
        <v>407</v>
      </c>
      <c r="D209" s="1" t="s">
        <v>210</v>
      </c>
      <c r="F209" s="13">
        <v>2.2000000000000002</v>
      </c>
      <c r="G209" s="12" t="e">
        <f t="shared" si="115"/>
        <v>#DIV/0!</v>
      </c>
      <c r="R209" s="3"/>
      <c r="U209" s="1">
        <v>750</v>
      </c>
      <c r="V209" s="1">
        <v>2</v>
      </c>
      <c r="W209" s="1" t="s">
        <v>406</v>
      </c>
      <c r="Y209" s="1" t="s">
        <v>15</v>
      </c>
      <c r="Z209" s="1">
        <v>2</v>
      </c>
      <c r="AA209" s="1" t="s">
        <v>249</v>
      </c>
      <c r="AB209" s="1">
        <v>1</v>
      </c>
      <c r="AC209" s="1" t="s">
        <v>403</v>
      </c>
      <c r="AD209" s="5" t="s">
        <v>404</v>
      </c>
      <c r="AE209" s="13"/>
      <c r="AF209" s="13">
        <v>2.2000000000000002</v>
      </c>
      <c r="AG209" s="5"/>
      <c r="AI209" s="1">
        <v>1.25</v>
      </c>
      <c r="AJ209" s="1">
        <v>4.8</v>
      </c>
      <c r="AL209" s="1" t="s">
        <v>405</v>
      </c>
      <c r="AM209" s="2" t="s">
        <v>194</v>
      </c>
      <c r="AN209" s="3"/>
      <c r="AP209" s="15">
        <v>50</v>
      </c>
      <c r="AQ209" s="1">
        <v>7.0000000000000007E-2</v>
      </c>
      <c r="AR209" s="3">
        <v>0.05</v>
      </c>
      <c r="AS209" s="3">
        <v>0.05</v>
      </c>
      <c r="AT209" s="3"/>
      <c r="AU209" s="3"/>
      <c r="AV209" s="1">
        <v>221</v>
      </c>
      <c r="AW209" s="3">
        <f t="shared" si="120"/>
        <v>11.05</v>
      </c>
      <c r="AX209" s="3">
        <f t="shared" si="121"/>
        <v>11.05</v>
      </c>
      <c r="AY209" s="1">
        <v>111</v>
      </c>
      <c r="AZ209" s="1">
        <v>91</v>
      </c>
      <c r="BD209" s="1">
        <f t="shared" si="111"/>
        <v>0</v>
      </c>
      <c r="BE209" s="1">
        <f t="shared" si="112"/>
        <v>2.2200000000000002</v>
      </c>
      <c r="BG209" s="3">
        <f>111/184</f>
        <v>0.60326086956521741</v>
      </c>
    </row>
    <row r="210" spans="1:59" ht="17.25" customHeight="1" x14ac:dyDescent="0.2">
      <c r="A210" s="4">
        <v>25</v>
      </c>
      <c r="B210" s="4" t="s">
        <v>414</v>
      </c>
      <c r="C210" s="4" t="s">
        <v>412</v>
      </c>
      <c r="D210" s="4" t="s">
        <v>210</v>
      </c>
      <c r="F210" s="12"/>
      <c r="G210" s="12">
        <f t="shared" si="115"/>
        <v>4.75</v>
      </c>
      <c r="H210" s="4">
        <v>4.75</v>
      </c>
      <c r="L210" s="4">
        <v>4.75</v>
      </c>
      <c r="P210" s="4" t="s">
        <v>613</v>
      </c>
      <c r="Q210" s="4">
        <f>56/110</f>
        <v>0.50909090909090904</v>
      </c>
      <c r="R210" s="7">
        <f>3/56</f>
        <v>5.3571428571428568E-2</v>
      </c>
      <c r="T210" s="4" t="s">
        <v>413</v>
      </c>
      <c r="U210" s="4">
        <v>600</v>
      </c>
      <c r="V210" s="4">
        <v>1</v>
      </c>
      <c r="W210" s="4" t="s">
        <v>52</v>
      </c>
      <c r="Y210" s="4" t="s">
        <v>15</v>
      </c>
      <c r="Z210" s="4">
        <v>2</v>
      </c>
      <c r="AA210" s="4" t="s">
        <v>321</v>
      </c>
      <c r="AB210" s="4">
        <v>1</v>
      </c>
      <c r="AC210" s="4" t="s">
        <v>410</v>
      </c>
      <c r="AD210" s="6" t="s">
        <v>411</v>
      </c>
      <c r="AE210" s="12" t="s">
        <v>814</v>
      </c>
      <c r="AF210" s="12"/>
      <c r="AG210" s="6"/>
      <c r="AI210" s="4">
        <v>3</v>
      </c>
      <c r="AJ210" s="4">
        <v>5</v>
      </c>
      <c r="AL210" s="4" t="s">
        <v>399</v>
      </c>
      <c r="AM210" s="10"/>
      <c r="AQ210" s="4">
        <v>0.2</v>
      </c>
      <c r="AR210" s="7">
        <v>0.1</v>
      </c>
      <c r="AS210" s="7">
        <v>0.1</v>
      </c>
      <c r="AV210" s="4">
        <v>170</v>
      </c>
      <c r="AW210" s="7">
        <v>17</v>
      </c>
      <c r="AX210" s="7">
        <v>17</v>
      </c>
      <c r="AY210" s="4">
        <v>113</v>
      </c>
      <c r="AZ210" s="4">
        <v>56</v>
      </c>
      <c r="BA210" s="4">
        <v>11</v>
      </c>
      <c r="BD210" s="4">
        <f t="shared" si="111"/>
        <v>9.7345132743362831E-2</v>
      </c>
      <c r="BE210" s="4">
        <f t="shared" si="112"/>
        <v>2.04</v>
      </c>
    </row>
    <row r="211" spans="1:59" s="1" customFormat="1" ht="19.5" customHeight="1" x14ac:dyDescent="0.2">
      <c r="A211" s="1">
        <v>25</v>
      </c>
      <c r="B211" s="1" t="s">
        <v>414</v>
      </c>
      <c r="C211" s="1" t="s">
        <v>412</v>
      </c>
      <c r="D211" s="1" t="s">
        <v>210</v>
      </c>
      <c r="F211" s="13"/>
      <c r="G211" s="12" t="e">
        <f t="shared" si="115"/>
        <v>#DIV/0!</v>
      </c>
      <c r="P211" s="1" t="s">
        <v>613</v>
      </c>
      <c r="Q211" s="1">
        <f>72/121</f>
        <v>0.5950413223140496</v>
      </c>
      <c r="R211" s="3">
        <f>22/72</f>
        <v>0.30555555555555558</v>
      </c>
      <c r="T211" s="1" t="s">
        <v>415</v>
      </c>
      <c r="U211" s="1">
        <v>600</v>
      </c>
      <c r="V211" s="1">
        <v>1</v>
      </c>
      <c r="W211" s="1" t="s">
        <v>52</v>
      </c>
      <c r="Y211" s="1" t="s">
        <v>15</v>
      </c>
      <c r="Z211" s="1">
        <v>2</v>
      </c>
      <c r="AA211" s="1" t="s">
        <v>321</v>
      </c>
      <c r="AB211" s="1">
        <v>1</v>
      </c>
      <c r="AC211" s="1" t="s">
        <v>410</v>
      </c>
      <c r="AD211" s="5" t="s">
        <v>411</v>
      </c>
      <c r="AE211" s="13" t="s">
        <v>814</v>
      </c>
      <c r="AF211" s="13"/>
      <c r="AG211" s="5"/>
      <c r="AI211" s="1">
        <v>3</v>
      </c>
      <c r="AJ211" s="1">
        <v>5</v>
      </c>
      <c r="AL211" s="1" t="s">
        <v>399</v>
      </c>
      <c r="AM211" s="2"/>
      <c r="AN211" s="3"/>
      <c r="AP211" s="15"/>
      <c r="AQ211" s="1">
        <v>0.2</v>
      </c>
      <c r="AR211" s="3">
        <v>0.1</v>
      </c>
      <c r="AS211" s="3">
        <v>0.1</v>
      </c>
      <c r="AT211" s="3"/>
      <c r="AU211" s="3"/>
      <c r="AV211" s="1">
        <v>170</v>
      </c>
      <c r="AW211" s="3">
        <v>17</v>
      </c>
      <c r="AX211" s="3">
        <v>17</v>
      </c>
      <c r="AY211" s="1">
        <v>120</v>
      </c>
      <c r="AZ211" s="1">
        <v>77</v>
      </c>
      <c r="BA211" s="1">
        <v>52</v>
      </c>
      <c r="BD211" s="1">
        <f t="shared" si="111"/>
        <v>0.43333333333333335</v>
      </c>
      <c r="BE211" s="1">
        <f t="shared" si="112"/>
        <v>1.36</v>
      </c>
      <c r="BG211" s="3"/>
    </row>
    <row r="212" spans="1:59" ht="17.25" customHeight="1" x14ac:dyDescent="0.2">
      <c r="A212" s="4">
        <v>25</v>
      </c>
      <c r="B212" s="4" t="s">
        <v>414</v>
      </c>
      <c r="C212" s="4" t="s">
        <v>412</v>
      </c>
      <c r="D212" s="4" t="s">
        <v>210</v>
      </c>
      <c r="F212" s="12">
        <v>4.5999999999999996</v>
      </c>
      <c r="G212" s="12" t="e">
        <f t="shared" si="115"/>
        <v>#DIV/0!</v>
      </c>
      <c r="P212" s="4" t="s">
        <v>613</v>
      </c>
      <c r="Q212" s="4">
        <f>93/145</f>
        <v>0.64137931034482754</v>
      </c>
      <c r="R212" s="7">
        <f>46/93</f>
        <v>0.4946236559139785</v>
      </c>
      <c r="T212" s="4" t="s">
        <v>416</v>
      </c>
      <c r="U212" s="4">
        <v>600</v>
      </c>
      <c r="V212" s="4">
        <v>1</v>
      </c>
      <c r="W212" s="4" t="s">
        <v>52</v>
      </c>
      <c r="Y212" s="4" t="s">
        <v>15</v>
      </c>
      <c r="Z212" s="4">
        <v>2</v>
      </c>
      <c r="AA212" s="4" t="s">
        <v>321</v>
      </c>
      <c r="AB212" s="4">
        <v>1</v>
      </c>
      <c r="AC212" s="4" t="s">
        <v>410</v>
      </c>
      <c r="AD212" s="6" t="s">
        <v>411</v>
      </c>
      <c r="AE212" s="12" t="s">
        <v>814</v>
      </c>
      <c r="AF212" s="12">
        <v>4.5999999999999996</v>
      </c>
      <c r="AG212" s="6"/>
      <c r="AI212" s="4">
        <v>3</v>
      </c>
      <c r="AJ212" s="4">
        <v>5</v>
      </c>
      <c r="AL212" s="4" t="s">
        <v>399</v>
      </c>
      <c r="AM212" s="10"/>
      <c r="AQ212" s="4">
        <v>0.2</v>
      </c>
      <c r="AR212" s="7">
        <v>0.1</v>
      </c>
      <c r="AS212" s="7">
        <v>0.1</v>
      </c>
      <c r="AV212" s="4">
        <v>170</v>
      </c>
      <c r="AW212" s="7">
        <v>17</v>
      </c>
      <c r="AX212" s="7">
        <v>17</v>
      </c>
      <c r="AY212" s="4">
        <v>144</v>
      </c>
      <c r="AZ212" s="4">
        <v>110</v>
      </c>
      <c r="BA212" s="4">
        <v>98</v>
      </c>
      <c r="BD212" s="4">
        <f t="shared" si="111"/>
        <v>0.68055555555555558</v>
      </c>
      <c r="BE212" s="4">
        <f t="shared" si="112"/>
        <v>0.92</v>
      </c>
      <c r="BG212" s="7">
        <f>144/181</f>
        <v>0.79558011049723754</v>
      </c>
    </row>
    <row r="213" spans="1:59" s="1" customFormat="1" ht="19.5" customHeight="1" x14ac:dyDescent="0.2">
      <c r="A213" s="1">
        <v>55</v>
      </c>
      <c r="B213" s="1" t="s">
        <v>414</v>
      </c>
      <c r="C213" s="1" t="s">
        <v>412</v>
      </c>
      <c r="D213" s="1" t="s">
        <v>210</v>
      </c>
      <c r="F213" s="13"/>
      <c r="G213" s="12" t="e">
        <f t="shared" si="115"/>
        <v>#DIV/0!</v>
      </c>
      <c r="R213" s="3"/>
      <c r="T213" s="1" t="s">
        <v>413</v>
      </c>
      <c r="U213" s="1">
        <v>600</v>
      </c>
      <c r="V213" s="1">
        <v>1</v>
      </c>
      <c r="W213" s="1" t="s">
        <v>52</v>
      </c>
      <c r="Y213" s="1" t="s">
        <v>15</v>
      </c>
      <c r="Z213" s="1">
        <v>2</v>
      </c>
      <c r="AA213" s="1" t="s">
        <v>321</v>
      </c>
      <c r="AB213" s="1">
        <v>1</v>
      </c>
      <c r="AC213" s="1" t="s">
        <v>410</v>
      </c>
      <c r="AD213" s="5" t="s">
        <v>411</v>
      </c>
      <c r="AE213" s="13" t="s">
        <v>814</v>
      </c>
      <c r="AF213" s="13"/>
      <c r="AG213" s="5"/>
      <c r="AI213" s="1">
        <v>3</v>
      </c>
      <c r="AJ213" s="1">
        <v>5</v>
      </c>
      <c r="AL213" s="1" t="s">
        <v>399</v>
      </c>
      <c r="AM213" s="2"/>
      <c r="AN213" s="3"/>
      <c r="AP213" s="15"/>
      <c r="AQ213" s="1">
        <v>0.2</v>
      </c>
      <c r="AR213" s="3">
        <v>0.1</v>
      </c>
      <c r="AS213" s="3">
        <v>0.1</v>
      </c>
      <c r="AT213" s="3"/>
      <c r="AU213" s="3"/>
      <c r="AV213" s="1">
        <v>170</v>
      </c>
      <c r="AW213" s="3">
        <v>17</v>
      </c>
      <c r="AX213" s="3">
        <v>17</v>
      </c>
      <c r="AY213" s="1">
        <v>132</v>
      </c>
      <c r="AZ213" s="1">
        <v>13</v>
      </c>
      <c r="BD213" s="1">
        <f t="shared" si="111"/>
        <v>0</v>
      </c>
      <c r="BE213" s="1">
        <f t="shared" si="112"/>
        <v>2.64</v>
      </c>
      <c r="BG213" s="3"/>
    </row>
    <row r="214" spans="1:59" ht="17.25" customHeight="1" x14ac:dyDescent="0.2">
      <c r="A214" s="4">
        <v>55</v>
      </c>
      <c r="B214" s="4" t="s">
        <v>414</v>
      </c>
      <c r="C214" s="4" t="s">
        <v>412</v>
      </c>
      <c r="D214" s="4" t="s">
        <v>210</v>
      </c>
      <c r="F214" s="12"/>
      <c r="G214" s="12" t="e">
        <f t="shared" si="115"/>
        <v>#DIV/0!</v>
      </c>
      <c r="T214" s="4" t="s">
        <v>415</v>
      </c>
      <c r="U214" s="4">
        <v>600</v>
      </c>
      <c r="V214" s="4">
        <v>1</v>
      </c>
      <c r="W214" s="4" t="s">
        <v>52</v>
      </c>
      <c r="Y214" s="4" t="s">
        <v>15</v>
      </c>
      <c r="Z214" s="4">
        <v>2</v>
      </c>
      <c r="AA214" s="4" t="s">
        <v>321</v>
      </c>
      <c r="AB214" s="4">
        <v>1</v>
      </c>
      <c r="AC214" s="4" t="s">
        <v>410</v>
      </c>
      <c r="AD214" s="6" t="s">
        <v>411</v>
      </c>
      <c r="AE214" s="12" t="s">
        <v>814</v>
      </c>
      <c r="AF214" s="12"/>
      <c r="AG214" s="6"/>
      <c r="AI214" s="4">
        <v>3</v>
      </c>
      <c r="AJ214" s="4">
        <v>5</v>
      </c>
      <c r="AL214" s="4" t="s">
        <v>399</v>
      </c>
      <c r="AM214" s="10"/>
      <c r="AQ214" s="4">
        <v>0.2</v>
      </c>
      <c r="AR214" s="7">
        <v>0.1</v>
      </c>
      <c r="AS214" s="7">
        <v>0.1</v>
      </c>
      <c r="AV214" s="4">
        <v>170</v>
      </c>
      <c r="AW214" s="7">
        <v>17</v>
      </c>
      <c r="AX214" s="7">
        <v>17</v>
      </c>
      <c r="AY214" s="4">
        <v>140</v>
      </c>
      <c r="AZ214" s="4">
        <v>36</v>
      </c>
      <c r="BA214" s="4">
        <v>0</v>
      </c>
      <c r="BD214" s="4">
        <f t="shared" si="111"/>
        <v>0</v>
      </c>
      <c r="BE214" s="4">
        <f t="shared" si="112"/>
        <v>2.8</v>
      </c>
    </row>
    <row r="215" spans="1:59" s="1" customFormat="1" ht="19.5" customHeight="1" x14ac:dyDescent="0.2">
      <c r="A215" s="1">
        <v>55</v>
      </c>
      <c r="B215" s="1" t="s">
        <v>414</v>
      </c>
      <c r="C215" s="1" t="s">
        <v>412</v>
      </c>
      <c r="D215" s="1" t="s">
        <v>210</v>
      </c>
      <c r="F215" s="13">
        <v>4.7</v>
      </c>
      <c r="G215" s="12" t="e">
        <f t="shared" si="115"/>
        <v>#DIV/0!</v>
      </c>
      <c r="R215" s="3"/>
      <c r="T215" s="1" t="s">
        <v>416</v>
      </c>
      <c r="U215" s="1">
        <v>600</v>
      </c>
      <c r="V215" s="1">
        <v>1</v>
      </c>
      <c r="W215" s="1" t="s">
        <v>52</v>
      </c>
      <c r="Y215" s="1" t="s">
        <v>15</v>
      </c>
      <c r="Z215" s="1">
        <v>2</v>
      </c>
      <c r="AA215" s="1" t="s">
        <v>321</v>
      </c>
      <c r="AB215" s="1">
        <v>1</v>
      </c>
      <c r="AC215" s="1" t="s">
        <v>410</v>
      </c>
      <c r="AD215" s="5" t="s">
        <v>411</v>
      </c>
      <c r="AE215" s="13" t="s">
        <v>814</v>
      </c>
      <c r="AF215" s="13">
        <v>4.7</v>
      </c>
      <c r="AG215" s="5"/>
      <c r="AI215" s="1">
        <v>3</v>
      </c>
      <c r="AJ215" s="1">
        <v>5</v>
      </c>
      <c r="AL215" s="1" t="s">
        <v>399</v>
      </c>
      <c r="AM215" s="2"/>
      <c r="AN215" s="3"/>
      <c r="AP215" s="15"/>
      <c r="AQ215" s="1">
        <v>0.2</v>
      </c>
      <c r="AR215" s="3">
        <v>0.1</v>
      </c>
      <c r="AS215" s="3">
        <v>0.1</v>
      </c>
      <c r="AT215" s="3"/>
      <c r="AU215" s="3"/>
      <c r="AV215" s="1">
        <v>170</v>
      </c>
      <c r="AW215" s="3">
        <v>17</v>
      </c>
      <c r="AX215" s="3">
        <v>17</v>
      </c>
      <c r="AY215" s="1">
        <v>152</v>
      </c>
      <c r="AZ215" s="1">
        <v>104</v>
      </c>
      <c r="BA215" s="1">
        <v>77</v>
      </c>
      <c r="BD215" s="1">
        <f t="shared" si="111"/>
        <v>0.50657894736842102</v>
      </c>
      <c r="BE215" s="1">
        <f t="shared" si="112"/>
        <v>1.5</v>
      </c>
      <c r="BG215" s="3">
        <f>152/158</f>
        <v>0.96202531645569622</v>
      </c>
    </row>
    <row r="216" spans="1:59" ht="17.25" customHeight="1" x14ac:dyDescent="0.2">
      <c r="A216" s="4">
        <v>30</v>
      </c>
      <c r="B216" s="4" t="s">
        <v>421</v>
      </c>
      <c r="D216" s="4" t="s">
        <v>210</v>
      </c>
      <c r="F216" s="12"/>
      <c r="G216" s="12" t="e">
        <f t="shared" si="115"/>
        <v>#DIV/0!</v>
      </c>
      <c r="V216" s="4">
        <v>1</v>
      </c>
      <c r="W216" s="4" t="s">
        <v>420</v>
      </c>
      <c r="Y216" s="4" t="s">
        <v>15</v>
      </c>
      <c r="Z216" s="4">
        <v>2</v>
      </c>
      <c r="AA216" s="4" t="s">
        <v>249</v>
      </c>
      <c r="AB216" s="4">
        <v>1</v>
      </c>
      <c r="AC216" s="4" t="s">
        <v>417</v>
      </c>
      <c r="AD216" s="6" t="s">
        <v>418</v>
      </c>
      <c r="AE216" s="12" t="s">
        <v>814</v>
      </c>
      <c r="AF216" s="12"/>
      <c r="AG216" s="6"/>
      <c r="AI216" s="4">
        <v>3.5</v>
      </c>
      <c r="AJ216" s="4">
        <v>5.2</v>
      </c>
      <c r="AL216" s="4" t="s">
        <v>419</v>
      </c>
      <c r="AM216" s="10" t="s">
        <v>422</v>
      </c>
      <c r="AR216" s="7">
        <v>0.2</v>
      </c>
      <c r="AS216" s="7">
        <v>0.2</v>
      </c>
      <c r="AV216" s="4">
        <v>170</v>
      </c>
      <c r="AW216" s="7">
        <f t="shared" ref="AW216:AW222" si="122">AV216*AR216</f>
        <v>34</v>
      </c>
      <c r="AX216" s="7">
        <f t="shared" ref="AX216:AX222" si="123">AR216*AV216</f>
        <v>34</v>
      </c>
      <c r="AY216" s="4">
        <v>101</v>
      </c>
      <c r="AZ216" s="4">
        <v>16</v>
      </c>
      <c r="BA216" s="4">
        <v>7</v>
      </c>
      <c r="BB216" s="4">
        <v>0</v>
      </c>
      <c r="BD216" s="4">
        <f t="shared" si="111"/>
        <v>6.9306930693069313E-2</v>
      </c>
      <c r="BE216" s="4">
        <f t="shared" si="112"/>
        <v>1.88</v>
      </c>
    </row>
    <row r="217" spans="1:59" s="1" customFormat="1" ht="19.5" customHeight="1" x14ac:dyDescent="0.2">
      <c r="A217" s="1">
        <v>30</v>
      </c>
      <c r="B217" s="1" t="s">
        <v>421</v>
      </c>
      <c r="D217" s="1" t="s">
        <v>210</v>
      </c>
      <c r="F217" s="13"/>
      <c r="G217" s="12" t="e">
        <f t="shared" si="115"/>
        <v>#DIV/0!</v>
      </c>
      <c r="R217" s="3"/>
      <c r="V217" s="1">
        <v>1</v>
      </c>
      <c r="W217" s="1" t="s">
        <v>420</v>
      </c>
      <c r="Y217" s="1" t="s">
        <v>15</v>
      </c>
      <c r="Z217" s="1">
        <v>2</v>
      </c>
      <c r="AA217" s="1" t="s">
        <v>249</v>
      </c>
      <c r="AB217" s="1">
        <v>1</v>
      </c>
      <c r="AC217" s="1" t="s">
        <v>417</v>
      </c>
      <c r="AD217" s="5" t="s">
        <v>418</v>
      </c>
      <c r="AE217" s="13" t="s">
        <v>814</v>
      </c>
      <c r="AF217" s="13"/>
      <c r="AG217" s="5"/>
      <c r="AI217" s="1">
        <v>3.5</v>
      </c>
      <c r="AJ217" s="1">
        <v>5.2</v>
      </c>
      <c r="AL217" s="1" t="s">
        <v>419</v>
      </c>
      <c r="AM217" s="2" t="s">
        <v>423</v>
      </c>
      <c r="AN217" s="3"/>
      <c r="AP217" s="15"/>
      <c r="AR217" s="3">
        <v>0.2</v>
      </c>
      <c r="AS217" s="3">
        <v>0.2</v>
      </c>
      <c r="AT217" s="3"/>
      <c r="AU217" s="3"/>
      <c r="AV217" s="1">
        <v>170</v>
      </c>
      <c r="AW217" s="3">
        <f t="shared" si="122"/>
        <v>34</v>
      </c>
      <c r="AX217" s="3">
        <f t="shared" si="123"/>
        <v>34</v>
      </c>
      <c r="AY217" s="1">
        <v>117</v>
      </c>
      <c r="AZ217" s="1">
        <v>88</v>
      </c>
      <c r="BA217" s="1">
        <v>77</v>
      </c>
      <c r="BB217" s="1">
        <v>0</v>
      </c>
      <c r="BD217" s="1">
        <f t="shared" si="111"/>
        <v>0.65811965811965811</v>
      </c>
      <c r="BE217" s="1">
        <f t="shared" si="112"/>
        <v>0.8</v>
      </c>
      <c r="BG217" s="3"/>
    </row>
    <row r="218" spans="1:59" ht="17.25" customHeight="1" x14ac:dyDescent="0.2">
      <c r="A218" s="4">
        <v>30</v>
      </c>
      <c r="B218" s="4" t="s">
        <v>421</v>
      </c>
      <c r="D218" s="4" t="s">
        <v>210</v>
      </c>
      <c r="F218" s="12"/>
      <c r="G218" s="12" t="e">
        <f t="shared" si="115"/>
        <v>#DIV/0!</v>
      </c>
      <c r="V218" s="4">
        <v>1</v>
      </c>
      <c r="W218" s="4" t="s">
        <v>420</v>
      </c>
      <c r="Y218" s="4" t="s">
        <v>15</v>
      </c>
      <c r="Z218" s="4">
        <v>2</v>
      </c>
      <c r="AA218" s="4" t="s">
        <v>249</v>
      </c>
      <c r="AB218" s="4">
        <v>1</v>
      </c>
      <c r="AC218" s="4" t="s">
        <v>417</v>
      </c>
      <c r="AD218" s="6" t="s">
        <v>418</v>
      </c>
      <c r="AE218" s="12" t="s">
        <v>814</v>
      </c>
      <c r="AF218" s="12"/>
      <c r="AG218" s="6"/>
      <c r="AI218" s="4">
        <v>3.5</v>
      </c>
      <c r="AJ218" s="4">
        <v>5.2</v>
      </c>
      <c r="AL218" s="4" t="s">
        <v>419</v>
      </c>
      <c r="AM218" s="10" t="s">
        <v>424</v>
      </c>
      <c r="AR218" s="7">
        <v>0.2</v>
      </c>
      <c r="AS218" s="7">
        <v>0.2</v>
      </c>
      <c r="AV218" s="4">
        <v>170</v>
      </c>
      <c r="AW218" s="7">
        <f t="shared" si="122"/>
        <v>34</v>
      </c>
      <c r="AX218" s="7">
        <f t="shared" si="123"/>
        <v>34</v>
      </c>
      <c r="AY218" s="4">
        <v>122</v>
      </c>
      <c r="AZ218" s="4">
        <v>87</v>
      </c>
      <c r="BA218" s="4">
        <v>83</v>
      </c>
      <c r="BB218" s="4">
        <v>76</v>
      </c>
      <c r="BD218" s="4">
        <f t="shared" si="111"/>
        <v>0.68032786885245899</v>
      </c>
      <c r="BE218" s="4">
        <f t="shared" si="112"/>
        <v>0.78</v>
      </c>
    </row>
    <row r="219" spans="1:59" s="1" customFormat="1" ht="19.5" customHeight="1" x14ac:dyDescent="0.2">
      <c r="A219" s="1">
        <v>30</v>
      </c>
      <c r="B219" s="1" t="s">
        <v>421</v>
      </c>
      <c r="D219" s="1" t="s">
        <v>210</v>
      </c>
      <c r="F219" s="13"/>
      <c r="G219" s="12" t="e">
        <f t="shared" si="115"/>
        <v>#DIV/0!</v>
      </c>
      <c r="R219" s="3"/>
      <c r="V219" s="1">
        <v>1</v>
      </c>
      <c r="W219" s="1" t="s">
        <v>420</v>
      </c>
      <c r="Y219" s="1" t="s">
        <v>15</v>
      </c>
      <c r="Z219" s="1">
        <v>2</v>
      </c>
      <c r="AA219" s="1" t="s">
        <v>249</v>
      </c>
      <c r="AB219" s="1">
        <v>1</v>
      </c>
      <c r="AC219" s="1" t="s">
        <v>417</v>
      </c>
      <c r="AD219" s="5" t="s">
        <v>418</v>
      </c>
      <c r="AE219" s="13" t="s">
        <v>814</v>
      </c>
      <c r="AF219" s="13"/>
      <c r="AG219" s="5"/>
      <c r="AI219" s="1">
        <v>3.5</v>
      </c>
      <c r="AJ219" s="1">
        <v>5.2</v>
      </c>
      <c r="AL219" s="1" t="s">
        <v>419</v>
      </c>
      <c r="AM219" s="2" t="s">
        <v>425</v>
      </c>
      <c r="AN219" s="3"/>
      <c r="AP219" s="15"/>
      <c r="AR219" s="3">
        <v>0.2</v>
      </c>
      <c r="AS219" s="3">
        <v>0.2</v>
      </c>
      <c r="AT219" s="3"/>
      <c r="AU219" s="3"/>
      <c r="AV219" s="1">
        <v>170</v>
      </c>
      <c r="AW219" s="3">
        <f t="shared" si="122"/>
        <v>34</v>
      </c>
      <c r="AX219" s="3">
        <f t="shared" si="123"/>
        <v>34</v>
      </c>
      <c r="AY219" s="1">
        <v>106</v>
      </c>
      <c r="AZ219" s="1">
        <v>65</v>
      </c>
      <c r="BA219" s="1">
        <v>60</v>
      </c>
      <c r="BC219" s="1" t="s">
        <v>426</v>
      </c>
      <c r="BD219" s="1">
        <f t="shared" si="111"/>
        <v>0.56603773584905659</v>
      </c>
      <c r="BE219" s="1">
        <f t="shared" si="112"/>
        <v>0.92</v>
      </c>
      <c r="BG219" s="3"/>
    </row>
    <row r="220" spans="1:59" ht="17.25" customHeight="1" x14ac:dyDescent="0.2">
      <c r="A220" s="4">
        <v>30</v>
      </c>
      <c r="B220" s="4" t="s">
        <v>119</v>
      </c>
      <c r="D220" s="4" t="s">
        <v>210</v>
      </c>
      <c r="F220" s="12"/>
      <c r="G220" s="12" t="e">
        <f t="shared" si="115"/>
        <v>#DIV/0!</v>
      </c>
      <c r="V220" s="4">
        <v>2</v>
      </c>
      <c r="W220" s="4" t="s">
        <v>427</v>
      </c>
      <c r="Y220" s="4" t="s">
        <v>15</v>
      </c>
      <c r="Z220" s="4">
        <v>2</v>
      </c>
      <c r="AA220" s="4" t="s">
        <v>249</v>
      </c>
      <c r="AB220" s="4">
        <v>1</v>
      </c>
      <c r="AC220" s="4" t="s">
        <v>417</v>
      </c>
      <c r="AD220" s="6" t="s">
        <v>418</v>
      </c>
      <c r="AE220" s="12"/>
      <c r="AF220" s="12"/>
      <c r="AG220" s="6"/>
      <c r="AI220" s="4">
        <v>3.5</v>
      </c>
      <c r="AJ220" s="4">
        <v>5.2</v>
      </c>
      <c r="AL220" s="4" t="s">
        <v>419</v>
      </c>
      <c r="AM220" s="10" t="s">
        <v>422</v>
      </c>
      <c r="AR220" s="7">
        <v>0.2</v>
      </c>
      <c r="AS220" s="7">
        <v>0.2</v>
      </c>
      <c r="AV220" s="4">
        <v>147</v>
      </c>
      <c r="AW220" s="7">
        <f t="shared" si="122"/>
        <v>29.400000000000002</v>
      </c>
      <c r="AX220" s="7">
        <f t="shared" si="123"/>
        <v>29.400000000000002</v>
      </c>
      <c r="AY220" s="4">
        <v>142</v>
      </c>
      <c r="AZ220" s="4">
        <v>146</v>
      </c>
      <c r="BA220" s="4">
        <v>145</v>
      </c>
      <c r="BB220" s="4">
        <v>138</v>
      </c>
      <c r="BC220" s="4" t="s">
        <v>426</v>
      </c>
      <c r="BD220" s="4">
        <f t="shared" si="111"/>
        <v>1.0211267605633803</v>
      </c>
      <c r="BE220" s="4">
        <f t="shared" si="112"/>
        <v>-0.06</v>
      </c>
    </row>
    <row r="221" spans="1:59" s="1" customFormat="1" ht="19.5" customHeight="1" x14ac:dyDescent="0.2">
      <c r="A221" s="1">
        <v>30</v>
      </c>
      <c r="B221" s="1" t="s">
        <v>93</v>
      </c>
      <c r="D221" s="1" t="s">
        <v>210</v>
      </c>
      <c r="F221" s="13"/>
      <c r="G221" s="12" t="e">
        <f t="shared" si="115"/>
        <v>#DIV/0!</v>
      </c>
      <c r="R221" s="3"/>
      <c r="T221" s="1" t="s">
        <v>428</v>
      </c>
      <c r="V221" s="1">
        <v>5</v>
      </c>
      <c r="W221" s="1" t="s">
        <v>420</v>
      </c>
      <c r="Y221" s="1" t="s">
        <v>15</v>
      </c>
      <c r="Z221" s="1">
        <v>2</v>
      </c>
      <c r="AA221" s="1" t="s">
        <v>249</v>
      </c>
      <c r="AB221" s="1">
        <v>1</v>
      </c>
      <c r="AC221" s="1" t="s">
        <v>417</v>
      </c>
      <c r="AD221" s="5" t="s">
        <v>418</v>
      </c>
      <c r="AE221" s="13" t="s">
        <v>814</v>
      </c>
      <c r="AF221" s="13"/>
      <c r="AG221" s="5"/>
      <c r="AI221" s="1">
        <v>2.8</v>
      </c>
      <c r="AJ221" s="1">
        <v>4</v>
      </c>
      <c r="AL221" s="1" t="s">
        <v>419</v>
      </c>
      <c r="AM221" s="2" t="s">
        <v>422</v>
      </c>
      <c r="AN221" s="3"/>
      <c r="AP221" s="15"/>
      <c r="AR221" s="3">
        <v>0.2</v>
      </c>
      <c r="AS221" s="3">
        <v>0.2</v>
      </c>
      <c r="AT221" s="3"/>
      <c r="AU221" s="3"/>
      <c r="AV221" s="1">
        <v>170</v>
      </c>
      <c r="AW221" s="3">
        <f t="shared" si="122"/>
        <v>34</v>
      </c>
      <c r="AX221" s="3">
        <f t="shared" si="123"/>
        <v>34</v>
      </c>
      <c r="AY221" s="1">
        <v>147</v>
      </c>
      <c r="AZ221" s="1">
        <v>146</v>
      </c>
      <c r="BA221" s="1">
        <v>140</v>
      </c>
      <c r="BB221" s="1">
        <v>134</v>
      </c>
      <c r="BD221" s="1">
        <f t="shared" si="111"/>
        <v>0.95238095238095233</v>
      </c>
      <c r="BE221" s="1">
        <f t="shared" si="112"/>
        <v>0.14000000000000001</v>
      </c>
      <c r="BG221" s="3"/>
    </row>
    <row r="222" spans="1:59" ht="17.25" customHeight="1" x14ac:dyDescent="0.2">
      <c r="A222" s="4">
        <v>30</v>
      </c>
      <c r="B222" s="4" t="s">
        <v>421</v>
      </c>
      <c r="D222" s="4" t="s">
        <v>210</v>
      </c>
      <c r="F222" s="12"/>
      <c r="G222" s="12" t="e">
        <f t="shared" si="115"/>
        <v>#DIV/0!</v>
      </c>
      <c r="T222" s="4" t="s">
        <v>428</v>
      </c>
      <c r="V222" s="4">
        <v>1</v>
      </c>
      <c r="W222" s="4" t="s">
        <v>420</v>
      </c>
      <c r="Y222" s="4" t="s">
        <v>15</v>
      </c>
      <c r="Z222" s="4">
        <v>2</v>
      </c>
      <c r="AA222" s="4" t="s">
        <v>249</v>
      </c>
      <c r="AB222" s="4">
        <v>1</v>
      </c>
      <c r="AC222" s="4" t="s">
        <v>417</v>
      </c>
      <c r="AD222" s="6" t="s">
        <v>418</v>
      </c>
      <c r="AE222" s="12" t="s">
        <v>814</v>
      </c>
      <c r="AF222" s="12"/>
      <c r="AG222" s="6"/>
      <c r="AI222" s="4">
        <v>3.5</v>
      </c>
      <c r="AJ222" s="4">
        <v>5.2</v>
      </c>
      <c r="AL222" s="4" t="s">
        <v>419</v>
      </c>
      <c r="AM222" s="10" t="s">
        <v>422</v>
      </c>
      <c r="AR222" s="7">
        <v>0.2</v>
      </c>
      <c r="AS222" s="7">
        <v>0.2</v>
      </c>
      <c r="AV222" s="4">
        <v>170</v>
      </c>
      <c r="AW222" s="7">
        <f t="shared" si="122"/>
        <v>34</v>
      </c>
      <c r="AX222" s="7">
        <f t="shared" si="123"/>
        <v>34</v>
      </c>
      <c r="AY222" s="4">
        <v>114</v>
      </c>
      <c r="AZ222" s="4">
        <v>68</v>
      </c>
      <c r="BA222" s="4">
        <v>36</v>
      </c>
      <c r="BB222" s="4">
        <v>9</v>
      </c>
      <c r="BC222" s="4" t="s">
        <v>426</v>
      </c>
      <c r="BD222" s="4">
        <f t="shared" si="111"/>
        <v>0.31578947368421051</v>
      </c>
      <c r="BE222" s="4">
        <f t="shared" si="112"/>
        <v>1.56</v>
      </c>
    </row>
    <row r="223" spans="1:59" s="1" customFormat="1" ht="19.5" customHeight="1" x14ac:dyDescent="0.2">
      <c r="A223" s="1" t="s">
        <v>167</v>
      </c>
      <c r="B223" s="1" t="s">
        <v>93</v>
      </c>
      <c r="C223" s="1" t="s">
        <v>429</v>
      </c>
      <c r="D223" s="1" t="s">
        <v>210</v>
      </c>
      <c r="F223" s="13"/>
      <c r="G223" s="12">
        <f t="shared" si="115"/>
        <v>3.3499999999999996</v>
      </c>
      <c r="H223" s="1">
        <v>3.4</v>
      </c>
      <c r="L223" s="1">
        <v>3.3</v>
      </c>
      <c r="P223" s="1" t="s">
        <v>614</v>
      </c>
      <c r="Q223" s="1">
        <f t="shared" ref="Q223:Q224" si="124">140/148</f>
        <v>0.94594594594594594</v>
      </c>
      <c r="R223" s="3"/>
      <c r="T223" s="1" t="s">
        <v>431</v>
      </c>
      <c r="U223" s="1">
        <v>700</v>
      </c>
      <c r="V223" s="1">
        <v>5</v>
      </c>
      <c r="W223" s="1" t="s">
        <v>50</v>
      </c>
      <c r="Y223" s="1" t="s">
        <v>15</v>
      </c>
      <c r="Z223" s="1">
        <v>2</v>
      </c>
      <c r="AA223" s="1" t="s">
        <v>249</v>
      </c>
      <c r="AB223" s="1">
        <v>1</v>
      </c>
      <c r="AC223" s="1" t="s">
        <v>441</v>
      </c>
      <c r="AD223" s="5" t="s">
        <v>432</v>
      </c>
      <c r="AE223" s="13" t="s">
        <v>814</v>
      </c>
      <c r="AF223" s="13"/>
      <c r="AG223" s="5"/>
      <c r="AI223" s="1">
        <v>2.7</v>
      </c>
      <c r="AJ223" s="1">
        <v>4.0999999999999996</v>
      </c>
      <c r="AM223" s="2" t="s">
        <v>430</v>
      </c>
      <c r="AN223" s="3"/>
      <c r="AP223" s="15" t="s">
        <v>626</v>
      </c>
      <c r="AR223" s="3">
        <v>0.5</v>
      </c>
      <c r="AS223" s="3">
        <v>0.5</v>
      </c>
      <c r="AT223" s="3"/>
      <c r="AU223" s="3"/>
      <c r="AV223" s="1">
        <v>170</v>
      </c>
      <c r="AW223" s="3">
        <v>85</v>
      </c>
      <c r="AX223" s="3">
        <v>85</v>
      </c>
      <c r="AY223" s="1">
        <v>114</v>
      </c>
      <c r="AZ223" s="1">
        <v>141</v>
      </c>
      <c r="BA223" s="1">
        <v>140</v>
      </c>
      <c r="BB223" s="1">
        <v>139</v>
      </c>
      <c r="BD223" s="1">
        <f t="shared" si="111"/>
        <v>1.2280701754385965</v>
      </c>
      <c r="BE223" s="1">
        <f t="shared" si="112"/>
        <v>-0.52</v>
      </c>
      <c r="BG223" s="3"/>
    </row>
    <row r="224" spans="1:59" ht="17.25" customHeight="1" x14ac:dyDescent="0.2">
      <c r="A224" s="4" t="s">
        <v>167</v>
      </c>
      <c r="B224" s="4" t="s">
        <v>93</v>
      </c>
      <c r="C224" s="4" t="s">
        <v>429</v>
      </c>
      <c r="D224" s="4" t="s">
        <v>210</v>
      </c>
      <c r="F224" s="12"/>
      <c r="G224" s="12" t="e">
        <f t="shared" si="115"/>
        <v>#DIV/0!</v>
      </c>
      <c r="Q224" s="4">
        <f t="shared" si="124"/>
        <v>0.94594594594594594</v>
      </c>
      <c r="T224" s="4" t="s">
        <v>433</v>
      </c>
      <c r="U224" s="4">
        <v>700</v>
      </c>
      <c r="V224" s="4">
        <v>5</v>
      </c>
      <c r="W224" s="4" t="s">
        <v>50</v>
      </c>
      <c r="Y224" s="4" t="s">
        <v>15</v>
      </c>
      <c r="Z224" s="4">
        <v>2</v>
      </c>
      <c r="AA224" s="4" t="s">
        <v>249</v>
      </c>
      <c r="AB224" s="4">
        <v>1</v>
      </c>
      <c r="AC224" s="4" t="s">
        <v>441</v>
      </c>
      <c r="AD224" s="6" t="s">
        <v>432</v>
      </c>
      <c r="AE224" s="12" t="s">
        <v>814</v>
      </c>
      <c r="AF224" s="12"/>
      <c r="AG224" s="6"/>
      <c r="AI224" s="4">
        <v>2.7</v>
      </c>
      <c r="AJ224" s="4">
        <v>4.0999999999999996</v>
      </c>
      <c r="AM224" s="10" t="s">
        <v>430</v>
      </c>
      <c r="AP224" s="15" t="s">
        <v>626</v>
      </c>
      <c r="AR224" s="7">
        <v>0.5</v>
      </c>
      <c r="AS224" s="7">
        <v>0.5</v>
      </c>
      <c r="AV224" s="4">
        <v>170</v>
      </c>
      <c r="AW224" s="7">
        <v>85</v>
      </c>
      <c r="AX224" s="7">
        <v>85</v>
      </c>
      <c r="AY224" s="4">
        <v>110</v>
      </c>
      <c r="AZ224" s="4">
        <v>141</v>
      </c>
      <c r="BA224" s="4">
        <v>142</v>
      </c>
      <c r="BB224" s="4">
        <v>139</v>
      </c>
      <c r="BD224" s="4">
        <f t="shared" si="111"/>
        <v>1.290909090909091</v>
      </c>
      <c r="BE224" s="4">
        <f t="shared" si="112"/>
        <v>-0.64</v>
      </c>
    </row>
    <row r="225" spans="1:59" s="1" customFormat="1" ht="19.5" customHeight="1" x14ac:dyDescent="0.2">
      <c r="A225" s="1" t="s">
        <v>167</v>
      </c>
      <c r="B225" s="1" t="s">
        <v>93</v>
      </c>
      <c r="C225" s="1" t="s">
        <v>429</v>
      </c>
      <c r="D225" s="1" t="s">
        <v>210</v>
      </c>
      <c r="F225" s="13"/>
      <c r="G225" s="12" t="e">
        <f t="shared" si="115"/>
        <v>#DIV/0!</v>
      </c>
      <c r="Q225" s="1">
        <f>140/148</f>
        <v>0.94594594594594594</v>
      </c>
      <c r="R225" s="3"/>
      <c r="T225" s="1" t="s">
        <v>434</v>
      </c>
      <c r="U225" s="1">
        <v>700</v>
      </c>
      <c r="V225" s="1">
        <v>5</v>
      </c>
      <c r="W225" s="1" t="s">
        <v>50</v>
      </c>
      <c r="Y225" s="1" t="s">
        <v>15</v>
      </c>
      <c r="Z225" s="1">
        <v>2</v>
      </c>
      <c r="AA225" s="1" t="s">
        <v>249</v>
      </c>
      <c r="AB225" s="1">
        <v>1</v>
      </c>
      <c r="AC225" s="1" t="s">
        <v>441</v>
      </c>
      <c r="AD225" s="5" t="s">
        <v>432</v>
      </c>
      <c r="AE225" s="13" t="s">
        <v>814</v>
      </c>
      <c r="AF225" s="13"/>
      <c r="AG225" s="5"/>
      <c r="AI225" s="1">
        <v>2.7</v>
      </c>
      <c r="AJ225" s="1">
        <v>4.0999999999999996</v>
      </c>
      <c r="AM225" s="2" t="s">
        <v>430</v>
      </c>
      <c r="AN225" s="3"/>
      <c r="AP225" s="15" t="s">
        <v>626</v>
      </c>
      <c r="AR225" s="3">
        <v>0.5</v>
      </c>
      <c r="AS225" s="3">
        <v>0.5</v>
      </c>
      <c r="AT225" s="3"/>
      <c r="AU225" s="3"/>
      <c r="AV225" s="1">
        <v>170</v>
      </c>
      <c r="AW225" s="3">
        <v>85</v>
      </c>
      <c r="AX225" s="3">
        <v>85</v>
      </c>
      <c r="AY225" s="1">
        <v>121</v>
      </c>
      <c r="AZ225" s="1">
        <v>145</v>
      </c>
      <c r="BA225" s="1">
        <v>142</v>
      </c>
      <c r="BB225" s="1">
        <v>137</v>
      </c>
      <c r="BD225" s="1">
        <f t="shared" si="111"/>
        <v>1.1735537190082646</v>
      </c>
      <c r="BE225" s="1">
        <f t="shared" si="112"/>
        <v>-0.42</v>
      </c>
      <c r="BG225" s="3"/>
    </row>
    <row r="226" spans="1:59" ht="17.25" customHeight="1" x14ac:dyDescent="0.2">
      <c r="A226" s="4" t="s">
        <v>167</v>
      </c>
      <c r="B226" s="4" t="s">
        <v>93</v>
      </c>
      <c r="C226" s="4" t="s">
        <v>429</v>
      </c>
      <c r="D226" s="4" t="s">
        <v>210</v>
      </c>
      <c r="F226" s="12"/>
      <c r="G226" s="12" t="e">
        <f t="shared" si="115"/>
        <v>#DIV/0!</v>
      </c>
      <c r="Q226" s="4">
        <f>135/145</f>
        <v>0.93103448275862066</v>
      </c>
      <c r="T226" s="4" t="s">
        <v>435</v>
      </c>
      <c r="U226" s="4">
        <v>700</v>
      </c>
      <c r="V226" s="4">
        <v>5</v>
      </c>
      <c r="W226" s="4" t="s">
        <v>50</v>
      </c>
      <c r="Y226" s="4" t="s">
        <v>15</v>
      </c>
      <c r="Z226" s="4">
        <v>2</v>
      </c>
      <c r="AA226" s="4" t="s">
        <v>249</v>
      </c>
      <c r="AB226" s="4">
        <v>1</v>
      </c>
      <c r="AC226" s="4" t="s">
        <v>441</v>
      </c>
      <c r="AD226" s="6" t="s">
        <v>432</v>
      </c>
      <c r="AE226" s="12" t="s">
        <v>814</v>
      </c>
      <c r="AF226" s="12"/>
      <c r="AG226" s="6"/>
      <c r="AI226" s="4">
        <v>2.7</v>
      </c>
      <c r="AJ226" s="4">
        <v>4.0999999999999996</v>
      </c>
      <c r="AM226" s="10" t="s">
        <v>430</v>
      </c>
      <c r="AP226" s="15" t="s">
        <v>626</v>
      </c>
      <c r="AR226" s="7">
        <v>0.5</v>
      </c>
      <c r="AS226" s="7">
        <v>0.5</v>
      </c>
      <c r="AV226" s="4">
        <v>170</v>
      </c>
      <c r="AW226" s="7">
        <v>85</v>
      </c>
      <c r="AX226" s="7">
        <v>85</v>
      </c>
      <c r="AY226" s="4">
        <v>115</v>
      </c>
      <c r="AZ226" s="4">
        <v>133</v>
      </c>
      <c r="BA226" s="4">
        <v>135</v>
      </c>
      <c r="BB226" s="4">
        <v>131</v>
      </c>
      <c r="BD226" s="4">
        <f t="shared" si="111"/>
        <v>1.173913043478261</v>
      </c>
      <c r="BE226" s="4">
        <f t="shared" si="112"/>
        <v>-0.4</v>
      </c>
    </row>
    <row r="227" spans="1:59" s="1" customFormat="1" ht="19.5" customHeight="1" x14ac:dyDescent="0.2">
      <c r="A227" s="1" t="s">
        <v>167</v>
      </c>
      <c r="B227" s="1" t="s">
        <v>93</v>
      </c>
      <c r="C227" s="1" t="s">
        <v>429</v>
      </c>
      <c r="D227" s="1" t="s">
        <v>210</v>
      </c>
      <c r="F227" s="13"/>
      <c r="G227" s="12" t="e">
        <f t="shared" si="115"/>
        <v>#DIV/0!</v>
      </c>
      <c r="Q227" s="1">
        <f>128/140</f>
        <v>0.91428571428571426</v>
      </c>
      <c r="R227" s="3"/>
      <c r="T227" s="1" t="s">
        <v>436</v>
      </c>
      <c r="U227" s="1">
        <v>700</v>
      </c>
      <c r="V227" s="1">
        <v>5</v>
      </c>
      <c r="W227" s="1" t="s">
        <v>50</v>
      </c>
      <c r="Y227" s="1" t="s">
        <v>15</v>
      </c>
      <c r="Z227" s="1">
        <v>2</v>
      </c>
      <c r="AA227" s="1" t="s">
        <v>249</v>
      </c>
      <c r="AB227" s="1">
        <v>1</v>
      </c>
      <c r="AC227" s="1" t="s">
        <v>441</v>
      </c>
      <c r="AD227" s="5" t="s">
        <v>432</v>
      </c>
      <c r="AE227" s="13" t="s">
        <v>814</v>
      </c>
      <c r="AF227" s="13"/>
      <c r="AG227" s="5"/>
      <c r="AI227" s="1">
        <v>2.7</v>
      </c>
      <c r="AJ227" s="1">
        <v>4.0999999999999996</v>
      </c>
      <c r="AM227" s="2" t="s">
        <v>430</v>
      </c>
      <c r="AN227" s="3"/>
      <c r="AP227" s="15" t="s">
        <v>626</v>
      </c>
      <c r="AR227" s="3">
        <v>0.5</v>
      </c>
      <c r="AS227" s="3">
        <v>0.5</v>
      </c>
      <c r="AT227" s="3"/>
      <c r="AU227" s="3"/>
      <c r="AV227" s="1">
        <v>170</v>
      </c>
      <c r="AW227" s="3">
        <v>85</v>
      </c>
      <c r="AX227" s="3">
        <v>85</v>
      </c>
      <c r="AY227" s="1">
        <v>90</v>
      </c>
      <c r="AZ227" s="1">
        <v>110</v>
      </c>
      <c r="BA227" s="1">
        <v>112</v>
      </c>
      <c r="BB227" s="1">
        <v>112</v>
      </c>
      <c r="BC227" s="1" t="s">
        <v>439</v>
      </c>
      <c r="BD227" s="1">
        <f t="shared" si="111"/>
        <v>1.2444444444444445</v>
      </c>
      <c r="BE227" s="1">
        <f t="shared" si="112"/>
        <v>-0.44</v>
      </c>
      <c r="BG227" s="3"/>
    </row>
    <row r="228" spans="1:59" ht="17.25" customHeight="1" x14ac:dyDescent="0.2">
      <c r="A228" s="4" t="s">
        <v>167</v>
      </c>
      <c r="B228" s="4" t="s">
        <v>93</v>
      </c>
      <c r="C228" s="4" t="s">
        <v>429</v>
      </c>
      <c r="D228" s="4" t="s">
        <v>210</v>
      </c>
      <c r="F228" s="12"/>
      <c r="G228" s="12" t="e">
        <f t="shared" si="115"/>
        <v>#DIV/0!</v>
      </c>
      <c r="Q228" s="4">
        <f>81/108</f>
        <v>0.75</v>
      </c>
      <c r="T228" s="4" t="s">
        <v>437</v>
      </c>
      <c r="U228" s="4">
        <v>700</v>
      </c>
      <c r="V228" s="4">
        <v>5</v>
      </c>
      <c r="W228" s="4" t="s">
        <v>50</v>
      </c>
      <c r="Y228" s="4" t="s">
        <v>15</v>
      </c>
      <c r="Z228" s="4">
        <v>2</v>
      </c>
      <c r="AA228" s="4" t="s">
        <v>249</v>
      </c>
      <c r="AB228" s="4">
        <v>1</v>
      </c>
      <c r="AC228" s="4" t="s">
        <v>441</v>
      </c>
      <c r="AD228" s="6" t="s">
        <v>432</v>
      </c>
      <c r="AE228" s="12" t="s">
        <v>814</v>
      </c>
      <c r="AF228" s="12"/>
      <c r="AG228" s="6"/>
      <c r="AI228" s="4">
        <v>2.7</v>
      </c>
      <c r="AJ228" s="4">
        <v>4.0999999999999996</v>
      </c>
      <c r="AM228" s="10" t="s">
        <v>430</v>
      </c>
      <c r="AP228" s="15" t="s">
        <v>626</v>
      </c>
      <c r="AR228" s="7">
        <v>0.5</v>
      </c>
      <c r="AS228" s="7">
        <v>0.5</v>
      </c>
      <c r="AV228" s="4">
        <v>170</v>
      </c>
      <c r="AW228" s="7">
        <v>85</v>
      </c>
      <c r="AX228" s="7">
        <v>85</v>
      </c>
      <c r="AY228" s="4">
        <v>77</v>
      </c>
      <c r="AZ228" s="4">
        <v>75</v>
      </c>
      <c r="BA228" s="4">
        <v>75</v>
      </c>
      <c r="BC228" s="4" t="s">
        <v>440</v>
      </c>
      <c r="BD228" s="4">
        <f t="shared" si="111"/>
        <v>0.97402597402597402</v>
      </c>
      <c r="BE228" s="4">
        <f t="shared" si="112"/>
        <v>0.04</v>
      </c>
    </row>
    <row r="229" spans="1:59" s="1" customFormat="1" ht="19.5" customHeight="1" x14ac:dyDescent="0.2">
      <c r="A229" s="1" t="s">
        <v>167</v>
      </c>
      <c r="B229" s="1" t="s">
        <v>93</v>
      </c>
      <c r="C229" s="1" t="s">
        <v>429</v>
      </c>
      <c r="D229" s="1" t="s">
        <v>210</v>
      </c>
      <c r="F229" s="13"/>
      <c r="G229" s="12" t="e">
        <f t="shared" si="115"/>
        <v>#DIV/0!</v>
      </c>
      <c r="Q229" s="1">
        <f>96/129</f>
        <v>0.7441860465116279</v>
      </c>
      <c r="R229" s="3"/>
      <c r="T229" s="1" t="s">
        <v>438</v>
      </c>
      <c r="U229" s="1">
        <v>700</v>
      </c>
      <c r="V229" s="1">
        <v>5</v>
      </c>
      <c r="W229" s="1" t="s">
        <v>406</v>
      </c>
      <c r="Y229" s="1" t="s">
        <v>15</v>
      </c>
      <c r="Z229" s="1">
        <v>2</v>
      </c>
      <c r="AA229" s="1" t="s">
        <v>249</v>
      </c>
      <c r="AB229" s="1">
        <v>1</v>
      </c>
      <c r="AC229" s="1" t="s">
        <v>441</v>
      </c>
      <c r="AD229" s="5" t="s">
        <v>432</v>
      </c>
      <c r="AE229" s="13" t="s">
        <v>814</v>
      </c>
      <c r="AF229" s="13"/>
      <c r="AG229" s="5"/>
      <c r="AI229" s="1">
        <v>2.7</v>
      </c>
      <c r="AJ229" s="1">
        <v>4.0999999999999996</v>
      </c>
      <c r="AM229" s="2" t="s">
        <v>430</v>
      </c>
      <c r="AN229" s="3"/>
      <c r="AP229" s="15" t="s">
        <v>626</v>
      </c>
      <c r="AR229" s="3">
        <v>0.5</v>
      </c>
      <c r="AS229" s="3">
        <v>0.5</v>
      </c>
      <c r="AT229" s="3"/>
      <c r="AU229" s="3"/>
      <c r="AV229" s="1">
        <v>170</v>
      </c>
      <c r="AW229" s="3">
        <v>85</v>
      </c>
      <c r="AX229" s="3">
        <v>85</v>
      </c>
      <c r="AY229" s="1">
        <v>94</v>
      </c>
      <c r="AZ229" s="1">
        <v>72</v>
      </c>
      <c r="BA229" s="1">
        <v>66</v>
      </c>
      <c r="BB229" s="1">
        <v>63</v>
      </c>
      <c r="BC229" s="1" t="s">
        <v>439</v>
      </c>
      <c r="BD229" s="1">
        <f t="shared" si="111"/>
        <v>0.7021276595744681</v>
      </c>
      <c r="BE229" s="1">
        <f t="shared" si="112"/>
        <v>0.56000000000000005</v>
      </c>
      <c r="BG229" s="3"/>
    </row>
    <row r="230" spans="1:59" ht="17.25" customHeight="1" x14ac:dyDescent="0.2">
      <c r="A230" s="4">
        <v>30</v>
      </c>
      <c r="B230" s="4" t="s">
        <v>379</v>
      </c>
      <c r="C230" s="4" t="s">
        <v>238</v>
      </c>
      <c r="D230" s="4" t="s">
        <v>210</v>
      </c>
      <c r="F230" s="12"/>
      <c r="G230" s="12">
        <f t="shared" si="115"/>
        <v>3</v>
      </c>
      <c r="H230" s="4">
        <v>3</v>
      </c>
      <c r="L230" s="4">
        <v>3</v>
      </c>
      <c r="P230" s="4" t="s">
        <v>616</v>
      </c>
      <c r="R230" s="7">
        <f t="shared" ref="R230:R231" si="125">76/131</f>
        <v>0.58015267175572516</v>
      </c>
      <c r="U230" s="4">
        <v>600</v>
      </c>
      <c r="V230" s="4">
        <v>5</v>
      </c>
      <c r="W230" s="4" t="s">
        <v>444</v>
      </c>
      <c r="Y230" s="4" t="s">
        <v>15</v>
      </c>
      <c r="Z230" s="4">
        <v>2</v>
      </c>
      <c r="AA230" s="4" t="s">
        <v>447</v>
      </c>
      <c r="AB230" s="4">
        <v>1</v>
      </c>
      <c r="AC230" s="4" t="s">
        <v>442</v>
      </c>
      <c r="AD230" s="6" t="s">
        <v>443</v>
      </c>
      <c r="AE230" s="12" t="s">
        <v>823</v>
      </c>
      <c r="AF230" s="12"/>
      <c r="AG230" s="6"/>
      <c r="AI230" s="4">
        <v>1.5</v>
      </c>
      <c r="AJ230" s="4">
        <v>4.8</v>
      </c>
      <c r="AL230" s="4" t="s">
        <v>445</v>
      </c>
      <c r="AM230" s="10" t="s">
        <v>446</v>
      </c>
      <c r="AP230" s="15">
        <v>40</v>
      </c>
      <c r="AQ230" s="4">
        <v>0.08</v>
      </c>
      <c r="AR230" s="7">
        <v>2</v>
      </c>
      <c r="AS230" s="7">
        <v>2</v>
      </c>
      <c r="AV230" s="4">
        <v>167</v>
      </c>
      <c r="AW230" s="7">
        <f>AR230*AV230</f>
        <v>334</v>
      </c>
      <c r="AX230" s="7">
        <f>AS230*AV230</f>
        <v>334</v>
      </c>
      <c r="AY230" s="4">
        <v>125</v>
      </c>
      <c r="AZ230" s="4">
        <v>132</v>
      </c>
      <c r="BA230" s="4">
        <v>133</v>
      </c>
      <c r="BD230" s="4">
        <f t="shared" si="111"/>
        <v>1.0640000000000001</v>
      </c>
      <c r="BE230" s="4">
        <f t="shared" si="112"/>
        <v>-0.16</v>
      </c>
      <c r="BG230" s="7">
        <f>AY230/131</f>
        <v>0.95419847328244278</v>
      </c>
    </row>
    <row r="231" spans="1:59" s="1" customFormat="1" ht="19.5" customHeight="1" x14ac:dyDescent="0.2">
      <c r="A231" s="1">
        <v>30</v>
      </c>
      <c r="B231" s="1" t="s">
        <v>379</v>
      </c>
      <c r="C231" s="1" t="s">
        <v>238</v>
      </c>
      <c r="D231" s="1" t="s">
        <v>210</v>
      </c>
      <c r="F231" s="13"/>
      <c r="G231" s="12" t="e">
        <f t="shared" si="115"/>
        <v>#DIV/0!</v>
      </c>
      <c r="R231" s="3">
        <f t="shared" si="125"/>
        <v>0.58015267175572516</v>
      </c>
      <c r="U231" s="1">
        <v>600</v>
      </c>
      <c r="V231" s="1">
        <v>5</v>
      </c>
      <c r="W231" s="1" t="s">
        <v>444</v>
      </c>
      <c r="Y231" s="1" t="s">
        <v>15</v>
      </c>
      <c r="Z231" s="1">
        <v>2</v>
      </c>
      <c r="AA231" s="1" t="s">
        <v>447</v>
      </c>
      <c r="AB231" s="1">
        <v>1</v>
      </c>
      <c r="AC231" s="1" t="s">
        <v>442</v>
      </c>
      <c r="AD231" s="5" t="s">
        <v>443</v>
      </c>
      <c r="AE231" s="13" t="s">
        <v>823</v>
      </c>
      <c r="AF231" s="13"/>
      <c r="AG231" s="5"/>
      <c r="AI231" s="1">
        <v>1.5</v>
      </c>
      <c r="AJ231" s="1">
        <v>4.8</v>
      </c>
      <c r="AL231" s="1" t="s">
        <v>445</v>
      </c>
      <c r="AM231" s="2" t="s">
        <v>446</v>
      </c>
      <c r="AN231" s="3"/>
      <c r="AP231" s="15">
        <v>40</v>
      </c>
      <c r="AQ231" s="1">
        <v>0.08</v>
      </c>
      <c r="AR231" s="3">
        <v>5</v>
      </c>
      <c r="AS231" s="3">
        <v>5</v>
      </c>
      <c r="AT231" s="3"/>
      <c r="AU231" s="3"/>
      <c r="AV231" s="1">
        <v>167</v>
      </c>
      <c r="AW231" s="3">
        <f>AR231*AV231</f>
        <v>835</v>
      </c>
      <c r="AX231" s="3">
        <f>AS231*AV231</f>
        <v>835</v>
      </c>
      <c r="AY231" s="1">
        <v>92</v>
      </c>
      <c r="AZ231" s="1">
        <v>104</v>
      </c>
      <c r="BA231" s="1">
        <v>103</v>
      </c>
      <c r="BD231" s="1">
        <f t="shared" si="111"/>
        <v>1.1195652173913044</v>
      </c>
      <c r="BE231" s="1">
        <f t="shared" si="112"/>
        <v>-0.22</v>
      </c>
      <c r="BG231" s="3">
        <f>AY231/104</f>
        <v>0.88461538461538458</v>
      </c>
    </row>
    <row r="232" spans="1:59" ht="17.25" customHeight="1" x14ac:dyDescent="0.2">
      <c r="A232" s="4">
        <v>30</v>
      </c>
      <c r="B232" s="4" t="s">
        <v>379</v>
      </c>
      <c r="C232" s="4" t="s">
        <v>238</v>
      </c>
      <c r="D232" s="4" t="s">
        <v>210</v>
      </c>
      <c r="F232" s="12"/>
      <c r="G232" s="12" t="e">
        <f t="shared" si="115"/>
        <v>#DIV/0!</v>
      </c>
      <c r="R232" s="7">
        <f>76/131</f>
        <v>0.58015267175572516</v>
      </c>
      <c r="U232" s="4">
        <v>600</v>
      </c>
      <c r="V232" s="4">
        <v>5</v>
      </c>
      <c r="W232" s="4" t="s">
        <v>444</v>
      </c>
      <c r="Y232" s="4" t="s">
        <v>15</v>
      </c>
      <c r="Z232" s="4">
        <v>2</v>
      </c>
      <c r="AA232" s="4" t="s">
        <v>447</v>
      </c>
      <c r="AB232" s="4">
        <v>1</v>
      </c>
      <c r="AC232" s="4" t="s">
        <v>442</v>
      </c>
      <c r="AD232" s="6" t="s">
        <v>443</v>
      </c>
      <c r="AE232" s="12" t="s">
        <v>823</v>
      </c>
      <c r="AF232" s="12"/>
      <c r="AG232" s="6"/>
      <c r="AI232" s="4">
        <v>1.5</v>
      </c>
      <c r="AJ232" s="4">
        <v>4.8</v>
      </c>
      <c r="AL232" s="4" t="s">
        <v>445</v>
      </c>
      <c r="AM232" s="10" t="s">
        <v>446</v>
      </c>
      <c r="AP232" s="15">
        <v>40</v>
      </c>
      <c r="AQ232" s="4">
        <v>0.08</v>
      </c>
      <c r="AR232" s="7">
        <v>10</v>
      </c>
      <c r="AS232" s="7">
        <v>10</v>
      </c>
      <c r="AV232" s="4">
        <v>167</v>
      </c>
      <c r="AW232" s="7">
        <f>AR232*AV232</f>
        <v>1670</v>
      </c>
      <c r="AX232" s="7">
        <f>AS232*AV232</f>
        <v>1670</v>
      </c>
      <c r="AY232" s="4">
        <v>76</v>
      </c>
      <c r="AZ232" s="4">
        <v>84</v>
      </c>
      <c r="BA232" s="4">
        <v>91</v>
      </c>
      <c r="BD232" s="4">
        <f t="shared" si="111"/>
        <v>1.1973684210526316</v>
      </c>
      <c r="BE232" s="4">
        <f t="shared" si="112"/>
        <v>-0.3</v>
      </c>
      <c r="BG232" s="7">
        <f>AY232/84</f>
        <v>0.90476190476190477</v>
      </c>
    </row>
    <row r="233" spans="1:59" s="1" customFormat="1" ht="19.5" customHeight="1" x14ac:dyDescent="0.2">
      <c r="A233" s="1">
        <v>30</v>
      </c>
      <c r="B233" s="1" t="s">
        <v>379</v>
      </c>
      <c r="C233" s="1" t="s">
        <v>238</v>
      </c>
      <c r="D233" s="1" t="s">
        <v>210</v>
      </c>
      <c r="F233" s="13"/>
      <c r="G233" s="12" t="e">
        <f t="shared" si="115"/>
        <v>#DIV/0!</v>
      </c>
      <c r="R233" s="3"/>
      <c r="U233" s="1">
        <v>600</v>
      </c>
      <c r="V233" s="1">
        <v>5</v>
      </c>
      <c r="W233" s="1" t="s">
        <v>448</v>
      </c>
      <c r="Y233" s="1" t="s">
        <v>15</v>
      </c>
      <c r="Z233" s="1">
        <v>2</v>
      </c>
      <c r="AA233" s="1" t="s">
        <v>447</v>
      </c>
      <c r="AB233" s="1">
        <v>1</v>
      </c>
      <c r="AC233" s="1" t="s">
        <v>442</v>
      </c>
      <c r="AD233" s="5" t="s">
        <v>443</v>
      </c>
      <c r="AE233" s="13" t="s">
        <v>823</v>
      </c>
      <c r="AF233" s="13"/>
      <c r="AG233" s="5"/>
      <c r="AI233" s="1">
        <v>1.5</v>
      </c>
      <c r="AJ233" s="1">
        <v>4.8</v>
      </c>
      <c r="AL233" s="1" t="s">
        <v>445</v>
      </c>
      <c r="AM233" s="2" t="s">
        <v>446</v>
      </c>
      <c r="AN233" s="3"/>
      <c r="AP233" s="15">
        <v>60</v>
      </c>
      <c r="AQ233" s="1">
        <v>0.12</v>
      </c>
      <c r="AR233" s="3">
        <v>2</v>
      </c>
      <c r="AS233" s="3">
        <v>2</v>
      </c>
      <c r="AT233" s="3"/>
      <c r="AU233" s="3"/>
      <c r="AV233" s="1">
        <v>167</v>
      </c>
      <c r="AW233" s="3">
        <f>AR233*AV233</f>
        <v>334</v>
      </c>
      <c r="AX233" s="3">
        <f>AS233*AV233</f>
        <v>334</v>
      </c>
      <c r="AY233" s="1">
        <v>70</v>
      </c>
      <c r="AZ233" s="1">
        <v>78</v>
      </c>
      <c r="BA233" s="1">
        <v>82</v>
      </c>
      <c r="BD233" s="1">
        <f t="shared" si="111"/>
        <v>1.1714285714285715</v>
      </c>
      <c r="BE233" s="1">
        <f t="shared" si="112"/>
        <v>-0.24</v>
      </c>
      <c r="BG233" s="3"/>
    </row>
    <row r="234" spans="1:59" ht="17.25" customHeight="1" x14ac:dyDescent="0.2">
      <c r="A234" s="4">
        <v>20</v>
      </c>
      <c r="B234" s="4" t="s">
        <v>454</v>
      </c>
      <c r="C234" s="4" t="s">
        <v>453</v>
      </c>
      <c r="D234" s="4" t="s">
        <v>210</v>
      </c>
      <c r="F234" s="12">
        <v>3.5</v>
      </c>
      <c r="G234" s="12">
        <f t="shared" si="115"/>
        <v>3.6</v>
      </c>
      <c r="H234" s="4">
        <v>3.7</v>
      </c>
      <c r="L234" s="4">
        <v>3.5</v>
      </c>
      <c r="V234" s="4">
        <v>5</v>
      </c>
      <c r="W234" s="4" t="s">
        <v>452</v>
      </c>
      <c r="Y234" s="4" t="s">
        <v>15</v>
      </c>
      <c r="Z234" s="4">
        <v>2</v>
      </c>
      <c r="AA234" s="4" t="s">
        <v>451</v>
      </c>
      <c r="AB234" s="4">
        <v>1</v>
      </c>
      <c r="AC234" s="4" t="s">
        <v>456</v>
      </c>
      <c r="AD234" s="6" t="s">
        <v>457</v>
      </c>
      <c r="AE234" s="12" t="s">
        <v>832</v>
      </c>
      <c r="AF234" s="12">
        <v>3.5</v>
      </c>
      <c r="AG234" s="6"/>
      <c r="AI234" s="4">
        <v>2.5</v>
      </c>
      <c r="AJ234" s="4">
        <v>4.2</v>
      </c>
      <c r="AL234" s="4" t="s">
        <v>449</v>
      </c>
      <c r="AM234" s="10" t="s">
        <v>450</v>
      </c>
      <c r="AP234" s="15">
        <v>400</v>
      </c>
      <c r="AQ234" s="4">
        <v>1</v>
      </c>
      <c r="AR234" s="7">
        <v>0.1</v>
      </c>
      <c r="AS234" s="7">
        <v>0.1</v>
      </c>
      <c r="AV234" s="4">
        <v>151</v>
      </c>
      <c r="AW234" s="7">
        <f>AR234*AV234</f>
        <v>15.100000000000001</v>
      </c>
      <c r="AX234" s="7">
        <f>AS234*AV234</f>
        <v>15.100000000000001</v>
      </c>
      <c r="AY234" s="4">
        <v>130</v>
      </c>
      <c r="AZ234" s="4">
        <v>124</v>
      </c>
      <c r="BA234" s="4">
        <v>123</v>
      </c>
      <c r="BC234" s="4" t="s">
        <v>244</v>
      </c>
      <c r="BD234" s="4">
        <f t="shared" si="111"/>
        <v>0.94615384615384612</v>
      </c>
      <c r="BE234" s="4">
        <f t="shared" si="112"/>
        <v>0.14000000000000001</v>
      </c>
      <c r="BG234" s="7">
        <f>AY234/140</f>
        <v>0.9285714285714286</v>
      </c>
    </row>
    <row r="235" spans="1:59" s="1" customFormat="1" ht="19.5" customHeight="1" x14ac:dyDescent="0.2">
      <c r="A235" s="1" t="s">
        <v>167</v>
      </c>
      <c r="B235" s="1" t="s">
        <v>660</v>
      </c>
      <c r="C235" s="1" t="s">
        <v>461</v>
      </c>
      <c r="D235" s="1" t="s">
        <v>210</v>
      </c>
      <c r="F235" s="13">
        <v>2.5</v>
      </c>
      <c r="G235" s="12" t="e">
        <f t="shared" si="115"/>
        <v>#DIV/0!</v>
      </c>
      <c r="R235" s="3"/>
      <c r="V235" s="1">
        <v>3</v>
      </c>
      <c r="W235" s="1" t="s">
        <v>460</v>
      </c>
      <c r="Y235" s="1" t="s">
        <v>15</v>
      </c>
      <c r="Z235" s="1">
        <v>2</v>
      </c>
      <c r="AA235" s="1" t="s">
        <v>256</v>
      </c>
      <c r="AB235" s="1">
        <v>1</v>
      </c>
      <c r="AC235" s="1" t="s">
        <v>458</v>
      </c>
      <c r="AD235" s="5" t="s">
        <v>459</v>
      </c>
      <c r="AE235" s="13"/>
      <c r="AF235" s="13">
        <v>2.5</v>
      </c>
      <c r="AG235" s="5"/>
      <c r="AI235" s="1">
        <v>2</v>
      </c>
      <c r="AJ235" s="1">
        <v>4.9000000000000004</v>
      </c>
      <c r="AM235" s="2"/>
      <c r="AN235" s="3"/>
      <c r="AP235" s="15">
        <v>13</v>
      </c>
      <c r="AR235" s="3"/>
      <c r="AS235" s="3">
        <f>AW235/AV235</f>
        <v>2.8735632183908046E-2</v>
      </c>
      <c r="AT235" s="3">
        <f>2*7+2*58.7+96*3+12*16</f>
        <v>611.4</v>
      </c>
      <c r="AU235" s="3">
        <f>2*96485.3/3600/AT235</f>
        <v>8.7672463926144015E-2</v>
      </c>
      <c r="AV235" s="1">
        <v>87</v>
      </c>
      <c r="AW235" s="3">
        <v>2.5</v>
      </c>
      <c r="AX235" s="3">
        <v>1.25</v>
      </c>
      <c r="AY235" s="1">
        <v>86</v>
      </c>
      <c r="AZ235" s="1">
        <v>29</v>
      </c>
      <c r="BC235" s="1" t="s">
        <v>462</v>
      </c>
      <c r="BD235" s="1">
        <f t="shared" si="111"/>
        <v>0</v>
      </c>
      <c r="BE235" s="1">
        <f t="shared" si="112"/>
        <v>1.72</v>
      </c>
      <c r="BG235" s="3"/>
    </row>
    <row r="236" spans="1:59" ht="17.25" customHeight="1" x14ac:dyDescent="0.2">
      <c r="A236" s="4">
        <v>21</v>
      </c>
      <c r="B236" s="4" t="s">
        <v>92</v>
      </c>
      <c r="C236" s="4" t="s">
        <v>465</v>
      </c>
      <c r="F236" s="12">
        <v>3.8</v>
      </c>
      <c r="G236" s="12">
        <f t="shared" si="115"/>
        <v>4</v>
      </c>
      <c r="H236" s="4">
        <v>4</v>
      </c>
      <c r="L236" s="4">
        <v>4</v>
      </c>
      <c r="P236" s="4" t="s">
        <v>617</v>
      </c>
      <c r="Q236" s="4">
        <f>156/160</f>
        <v>0.97499999999999998</v>
      </c>
      <c r="R236" s="7">
        <f>110/156</f>
        <v>0.70512820512820518</v>
      </c>
      <c r="U236" s="4">
        <v>500</v>
      </c>
      <c r="V236" s="4">
        <v>2</v>
      </c>
      <c r="W236" s="4" t="s">
        <v>260</v>
      </c>
      <c r="Y236" s="4" t="s">
        <v>15</v>
      </c>
      <c r="Z236" s="4">
        <v>2</v>
      </c>
      <c r="AA236" s="4" t="s">
        <v>466</v>
      </c>
      <c r="AB236" s="4">
        <v>1</v>
      </c>
      <c r="AC236" s="4" t="s">
        <v>463</v>
      </c>
      <c r="AD236" s="6" t="s">
        <v>464</v>
      </c>
      <c r="AE236" s="12" t="s">
        <v>814</v>
      </c>
      <c r="AF236" s="12">
        <v>3.8</v>
      </c>
      <c r="AG236" s="6"/>
      <c r="AI236" s="4">
        <v>2</v>
      </c>
      <c r="AJ236" s="4">
        <v>4.5999999999999996</v>
      </c>
      <c r="AM236" s="10"/>
      <c r="AP236" s="15">
        <v>100</v>
      </c>
      <c r="AQ236" s="4" t="s">
        <v>624</v>
      </c>
      <c r="AR236" s="7">
        <v>1</v>
      </c>
      <c r="AS236" s="7">
        <v>1</v>
      </c>
      <c r="AV236" s="4">
        <v>170</v>
      </c>
      <c r="AW236" s="7">
        <f t="shared" ref="AW236:AW241" si="126">AV236*AR236</f>
        <v>170</v>
      </c>
      <c r="AX236" s="7">
        <f t="shared" ref="AX236:AX241" si="127">AR236*AV236</f>
        <v>170</v>
      </c>
      <c r="AY236" s="4">
        <v>155</v>
      </c>
      <c r="AZ236" s="4">
        <v>155</v>
      </c>
      <c r="BA236" s="4">
        <v>155</v>
      </c>
      <c r="BD236" s="4">
        <f t="shared" si="111"/>
        <v>1</v>
      </c>
      <c r="BE236" s="4">
        <f t="shared" si="112"/>
        <v>0</v>
      </c>
    </row>
    <row r="237" spans="1:59" s="1" customFormat="1" ht="19.5" customHeight="1" x14ac:dyDescent="0.2">
      <c r="A237" s="1">
        <v>60</v>
      </c>
      <c r="B237" s="1" t="s">
        <v>92</v>
      </c>
      <c r="C237" s="1" t="s">
        <v>465</v>
      </c>
      <c r="D237" s="1" t="s">
        <v>351</v>
      </c>
      <c r="F237" s="13"/>
      <c r="G237" s="12" t="e">
        <f t="shared" si="115"/>
        <v>#DIV/0!</v>
      </c>
      <c r="R237" s="3"/>
      <c r="U237" s="1">
        <v>500</v>
      </c>
      <c r="V237" s="1">
        <v>2</v>
      </c>
      <c r="W237" s="1" t="s">
        <v>260</v>
      </c>
      <c r="Y237" s="1" t="s">
        <v>15</v>
      </c>
      <c r="Z237" s="1">
        <v>2</v>
      </c>
      <c r="AA237" s="1" t="s">
        <v>466</v>
      </c>
      <c r="AB237" s="1">
        <v>1</v>
      </c>
      <c r="AC237" s="1" t="s">
        <v>463</v>
      </c>
      <c r="AD237" s="5" t="s">
        <v>464</v>
      </c>
      <c r="AE237" s="13" t="s">
        <v>814</v>
      </c>
      <c r="AF237" s="13"/>
      <c r="AG237" s="5"/>
      <c r="AI237" s="1">
        <v>2</v>
      </c>
      <c r="AJ237" s="1">
        <v>4.5999999999999996</v>
      </c>
      <c r="AM237" s="2"/>
      <c r="AN237" s="3"/>
      <c r="AP237" s="15">
        <v>100</v>
      </c>
      <c r="AQ237" s="1">
        <v>0.2</v>
      </c>
      <c r="AR237" s="3">
        <v>1</v>
      </c>
      <c r="AS237" s="3">
        <v>1</v>
      </c>
      <c r="AT237" s="3"/>
      <c r="AU237" s="3"/>
      <c r="AV237" s="1">
        <v>170</v>
      </c>
      <c r="AW237" s="3">
        <f t="shared" si="126"/>
        <v>170</v>
      </c>
      <c r="AX237" s="3">
        <f t="shared" si="127"/>
        <v>170</v>
      </c>
      <c r="AY237" s="1">
        <v>160</v>
      </c>
      <c r="AZ237" s="1">
        <v>157</v>
      </c>
      <c r="BA237" s="1">
        <v>151</v>
      </c>
      <c r="BC237" s="1" t="s">
        <v>426</v>
      </c>
      <c r="BD237" s="1">
        <f t="shared" si="111"/>
        <v>0.94374999999999998</v>
      </c>
      <c r="BE237" s="1">
        <f t="shared" si="112"/>
        <v>0.18</v>
      </c>
      <c r="BG237" s="3"/>
    </row>
    <row r="238" spans="1:59" ht="17.25" customHeight="1" x14ac:dyDescent="0.2">
      <c r="A238" s="4" t="s">
        <v>167</v>
      </c>
      <c r="B238" s="4" t="s">
        <v>472</v>
      </c>
      <c r="C238" s="4" t="s">
        <v>469</v>
      </c>
      <c r="D238" s="4" t="s">
        <v>210</v>
      </c>
      <c r="F238" s="12">
        <v>4.5</v>
      </c>
      <c r="G238" s="12">
        <f t="shared" si="115"/>
        <v>4.75</v>
      </c>
      <c r="H238" s="4">
        <v>5</v>
      </c>
      <c r="L238" s="4">
        <v>4.5</v>
      </c>
      <c r="U238" s="4">
        <v>800</v>
      </c>
      <c r="V238" s="4">
        <v>1</v>
      </c>
      <c r="W238" s="4" t="s">
        <v>406</v>
      </c>
      <c r="Y238" s="4" t="s">
        <v>15</v>
      </c>
      <c r="Z238" s="4">
        <v>2</v>
      </c>
      <c r="AA238" s="4" t="s">
        <v>471</v>
      </c>
      <c r="AB238" s="4">
        <v>1</v>
      </c>
      <c r="AC238" s="4" t="s">
        <v>467</v>
      </c>
      <c r="AD238" s="6" t="s">
        <v>468</v>
      </c>
      <c r="AE238" s="12" t="s">
        <v>814</v>
      </c>
      <c r="AF238" s="12">
        <v>4.5</v>
      </c>
      <c r="AG238" s="6"/>
      <c r="AI238" s="4">
        <v>3</v>
      </c>
      <c r="AJ238" s="4">
        <v>5</v>
      </c>
      <c r="AL238" s="4" t="s">
        <v>449</v>
      </c>
      <c r="AM238" s="10" t="s">
        <v>470</v>
      </c>
      <c r="AR238" s="7">
        <v>0.1</v>
      </c>
      <c r="AS238" s="7">
        <v>0.1</v>
      </c>
      <c r="AT238" s="7">
        <f>7+58.9+75+4*16</f>
        <v>204.9</v>
      </c>
      <c r="AU238" s="7">
        <f>96485.3/3600/AT238</f>
        <v>0.13080269508161163</v>
      </c>
      <c r="AV238" s="4">
        <v>131</v>
      </c>
      <c r="AW238" s="7">
        <f t="shared" si="126"/>
        <v>13.100000000000001</v>
      </c>
      <c r="AX238" s="7">
        <f t="shared" si="127"/>
        <v>13.100000000000001</v>
      </c>
      <c r="AY238" s="4">
        <v>37</v>
      </c>
      <c r="AZ238" s="4">
        <v>20</v>
      </c>
      <c r="BD238" s="4">
        <f t="shared" si="111"/>
        <v>0</v>
      </c>
      <c r="BE238" s="4">
        <f t="shared" si="112"/>
        <v>0.74</v>
      </c>
      <c r="BG238" s="7">
        <f>37/110</f>
        <v>0.33636363636363636</v>
      </c>
    </row>
    <row r="239" spans="1:59" s="1" customFormat="1" ht="19.5" customHeight="1" x14ac:dyDescent="0.2">
      <c r="A239" s="1">
        <v>20</v>
      </c>
      <c r="B239" s="1" t="s">
        <v>93</v>
      </c>
      <c r="C239" s="1" t="s">
        <v>475</v>
      </c>
      <c r="D239" s="1" t="s">
        <v>210</v>
      </c>
      <c r="F239" s="13">
        <v>3.4</v>
      </c>
      <c r="G239" s="12">
        <f t="shared" si="115"/>
        <v>3.4</v>
      </c>
      <c r="H239" s="1">
        <v>3.4</v>
      </c>
      <c r="L239" s="1">
        <v>3.4</v>
      </c>
      <c r="P239" s="1" t="s">
        <v>619</v>
      </c>
      <c r="Q239" s="1">
        <f>138/154</f>
        <v>0.89610389610389607</v>
      </c>
      <c r="R239" s="3">
        <v>0</v>
      </c>
      <c r="U239" s="1">
        <v>500</v>
      </c>
      <c r="V239" s="1">
        <v>5</v>
      </c>
      <c r="W239" s="1" t="s">
        <v>52</v>
      </c>
      <c r="Y239" s="1" t="s">
        <v>15</v>
      </c>
      <c r="Z239" s="1">
        <v>2</v>
      </c>
      <c r="AA239" s="1" t="s">
        <v>471</v>
      </c>
      <c r="AB239" s="1">
        <v>1</v>
      </c>
      <c r="AC239" s="1" t="s">
        <v>473</v>
      </c>
      <c r="AD239" s="5" t="s">
        <v>474</v>
      </c>
      <c r="AE239" s="13" t="s">
        <v>814</v>
      </c>
      <c r="AF239" s="13">
        <v>3.4</v>
      </c>
      <c r="AG239" s="5"/>
      <c r="AI239" s="1">
        <v>2</v>
      </c>
      <c r="AJ239" s="1">
        <v>4.5</v>
      </c>
      <c r="AM239" s="2" t="s">
        <v>476</v>
      </c>
      <c r="AN239" s="3"/>
      <c r="AP239" s="15">
        <v>100</v>
      </c>
      <c r="AQ239" s="1">
        <v>0.2</v>
      </c>
      <c r="AR239" s="3">
        <v>0.2</v>
      </c>
      <c r="AS239" s="3">
        <v>0.5</v>
      </c>
      <c r="AT239" s="3"/>
      <c r="AU239" s="3"/>
      <c r="AV239" s="1">
        <v>170</v>
      </c>
      <c r="AW239" s="3">
        <f t="shared" si="126"/>
        <v>34</v>
      </c>
      <c r="AX239" s="3">
        <f t="shared" si="127"/>
        <v>34</v>
      </c>
      <c r="AY239" s="1">
        <v>146</v>
      </c>
      <c r="AZ239" s="1">
        <v>146</v>
      </c>
      <c r="BA239" s="1">
        <v>147</v>
      </c>
      <c r="BB239" s="1">
        <v>147</v>
      </c>
      <c r="BD239" s="1">
        <f t="shared" si="111"/>
        <v>1.0068493150684932</v>
      </c>
      <c r="BE239" s="1">
        <f t="shared" si="112"/>
        <v>-0.02</v>
      </c>
      <c r="BG239" s="3">
        <f>AY239/146</f>
        <v>1</v>
      </c>
    </row>
    <row r="240" spans="1:59" ht="17.25" customHeight="1" x14ac:dyDescent="0.2">
      <c r="A240" s="4" t="s">
        <v>167</v>
      </c>
      <c r="B240" s="4" t="s">
        <v>93</v>
      </c>
      <c r="D240" s="4" t="s">
        <v>210</v>
      </c>
      <c r="F240" s="12">
        <v>3.4</v>
      </c>
      <c r="G240" s="12">
        <f t="shared" si="115"/>
        <v>3.45</v>
      </c>
      <c r="H240" s="4">
        <v>3.5</v>
      </c>
      <c r="L240" s="4">
        <v>3.4</v>
      </c>
      <c r="P240" s="4" t="s">
        <v>618</v>
      </c>
      <c r="Q240" s="4">
        <f>75/123</f>
        <v>0.6097560975609756</v>
      </c>
      <c r="V240" s="4">
        <v>5</v>
      </c>
      <c r="W240" s="4" t="s">
        <v>52</v>
      </c>
      <c r="Y240" s="4" t="s">
        <v>15</v>
      </c>
      <c r="Z240" s="4">
        <v>2</v>
      </c>
      <c r="AB240" s="4">
        <v>1</v>
      </c>
      <c r="AC240" s="4" t="s">
        <v>477</v>
      </c>
      <c r="AD240" s="6" t="s">
        <v>478</v>
      </c>
      <c r="AE240" s="12" t="s">
        <v>814</v>
      </c>
      <c r="AF240" s="12">
        <v>3.4</v>
      </c>
      <c r="AG240" s="6"/>
      <c r="AI240" s="4">
        <v>2.5</v>
      </c>
      <c r="AJ240" s="4">
        <v>4</v>
      </c>
      <c r="AL240" s="4" t="s">
        <v>449</v>
      </c>
      <c r="AM240" s="10"/>
      <c r="AP240" s="15">
        <v>40</v>
      </c>
      <c r="AQ240" s="4">
        <v>0.14000000000000001</v>
      </c>
      <c r="AR240" s="7">
        <v>1</v>
      </c>
      <c r="AS240" s="7">
        <v>1</v>
      </c>
      <c r="AV240" s="4">
        <v>170</v>
      </c>
      <c r="AW240" s="7">
        <f t="shared" si="126"/>
        <v>170</v>
      </c>
      <c r="AX240" s="7">
        <f t="shared" si="127"/>
        <v>170</v>
      </c>
      <c r="AY240" s="4">
        <v>75</v>
      </c>
      <c r="AZ240" s="4">
        <v>73</v>
      </c>
      <c r="BA240" s="4">
        <v>74</v>
      </c>
      <c r="BD240" s="4">
        <f t="shared" si="111"/>
        <v>0.98666666666666669</v>
      </c>
      <c r="BE240" s="4">
        <f t="shared" si="112"/>
        <v>0.02</v>
      </c>
    </row>
    <row r="241" spans="1:59" s="1" customFormat="1" ht="19.5" customHeight="1" x14ac:dyDescent="0.2">
      <c r="A241" s="1" t="s">
        <v>167</v>
      </c>
      <c r="B241" s="1" t="s">
        <v>93</v>
      </c>
      <c r="D241" s="1" t="s">
        <v>210</v>
      </c>
      <c r="F241" s="13">
        <v>3.4</v>
      </c>
      <c r="G241" s="12" t="e">
        <f t="shared" si="115"/>
        <v>#DIV/0!</v>
      </c>
      <c r="Q241" s="1">
        <f>75/123</f>
        <v>0.6097560975609756</v>
      </c>
      <c r="R241" s="3"/>
      <c r="V241" s="1">
        <v>5</v>
      </c>
      <c r="W241" s="1" t="s">
        <v>52</v>
      </c>
      <c r="Y241" s="1" t="s">
        <v>15</v>
      </c>
      <c r="Z241" s="1">
        <v>2</v>
      </c>
      <c r="AB241" s="1">
        <v>1</v>
      </c>
      <c r="AC241" s="1" t="s">
        <v>477</v>
      </c>
      <c r="AD241" s="5" t="s">
        <v>478</v>
      </c>
      <c r="AE241" s="13" t="s">
        <v>814</v>
      </c>
      <c r="AF241" s="13">
        <v>3.4</v>
      </c>
      <c r="AG241" s="5"/>
      <c r="AI241" s="1">
        <v>2.5</v>
      </c>
      <c r="AJ241" s="1">
        <v>4</v>
      </c>
      <c r="AL241" s="1" t="s">
        <v>449</v>
      </c>
      <c r="AM241" s="2"/>
      <c r="AN241" s="3"/>
      <c r="AP241" s="15">
        <v>40</v>
      </c>
      <c r="AQ241" s="1">
        <v>0.14000000000000001</v>
      </c>
      <c r="AR241" s="3">
        <v>0.1</v>
      </c>
      <c r="AS241" s="3">
        <v>0.1</v>
      </c>
      <c r="AT241" s="3"/>
      <c r="AU241" s="3"/>
      <c r="AV241" s="1">
        <v>170</v>
      </c>
      <c r="AW241" s="3">
        <f t="shared" si="126"/>
        <v>17</v>
      </c>
      <c r="AX241" s="3">
        <f t="shared" si="127"/>
        <v>17</v>
      </c>
      <c r="AY241" s="1">
        <v>123</v>
      </c>
      <c r="AZ241" s="1">
        <v>124</v>
      </c>
      <c r="BA241" s="1">
        <v>122</v>
      </c>
      <c r="BD241" s="1">
        <f t="shared" si="111"/>
        <v>0.99186991869918695</v>
      </c>
      <c r="BE241" s="1">
        <f t="shared" si="112"/>
        <v>0.02</v>
      </c>
      <c r="BG241" s="3">
        <f>123/148</f>
        <v>0.83108108108108103</v>
      </c>
    </row>
    <row r="242" spans="1:59" ht="17.25" customHeight="1" x14ac:dyDescent="0.2">
      <c r="A242" s="4" t="s">
        <v>167</v>
      </c>
      <c r="B242" s="4" t="s">
        <v>93</v>
      </c>
      <c r="C242" s="4" t="s">
        <v>482</v>
      </c>
      <c r="D242" s="4" t="s">
        <v>210</v>
      </c>
      <c r="F242" s="12">
        <v>3.3</v>
      </c>
      <c r="G242" s="12">
        <f t="shared" si="115"/>
        <v>3.45</v>
      </c>
      <c r="H242" s="4">
        <v>3.5</v>
      </c>
      <c r="L242" s="4">
        <v>3.4</v>
      </c>
      <c r="V242" s="4">
        <v>5</v>
      </c>
      <c r="W242" s="4" t="s">
        <v>483</v>
      </c>
      <c r="Y242" s="4" t="s">
        <v>15</v>
      </c>
      <c r="Z242" s="4">
        <v>2</v>
      </c>
      <c r="AA242" s="4" t="s">
        <v>494</v>
      </c>
      <c r="AB242" s="4">
        <v>1</v>
      </c>
      <c r="AC242" s="4" t="s">
        <v>479</v>
      </c>
      <c r="AD242" s="6" t="s">
        <v>480</v>
      </c>
      <c r="AE242" s="12" t="s">
        <v>814</v>
      </c>
      <c r="AF242" s="12">
        <v>3.3</v>
      </c>
      <c r="AG242" s="6"/>
      <c r="AI242" s="4">
        <v>3</v>
      </c>
      <c r="AJ242" s="4">
        <v>4</v>
      </c>
      <c r="AL242" s="4" t="s">
        <v>481</v>
      </c>
      <c r="AM242" s="10" t="s">
        <v>257</v>
      </c>
      <c r="AP242" s="15">
        <v>100</v>
      </c>
      <c r="AQ242" s="4">
        <v>3</v>
      </c>
      <c r="AS242" s="7">
        <f>AW242/AV242</f>
        <v>5.8823529411764705E-2</v>
      </c>
      <c r="AV242" s="4">
        <v>170</v>
      </c>
      <c r="AW242" s="7">
        <v>10</v>
      </c>
      <c r="AX242" s="7">
        <v>10</v>
      </c>
      <c r="AY242" s="4">
        <v>140</v>
      </c>
      <c r="AZ242" s="4">
        <v>148</v>
      </c>
      <c r="BA242" s="4">
        <v>145</v>
      </c>
      <c r="BC242" s="4" t="s">
        <v>243</v>
      </c>
      <c r="BD242" s="4">
        <f t="shared" si="111"/>
        <v>1.0357142857142858</v>
      </c>
      <c r="BE242" s="4">
        <f t="shared" si="112"/>
        <v>-0.1</v>
      </c>
      <c r="BG242" s="7">
        <f>141/159</f>
        <v>0.8867924528301887</v>
      </c>
    </row>
    <row r="243" spans="1:59" s="1" customFormat="1" ht="19.5" customHeight="1" x14ac:dyDescent="0.2">
      <c r="A243" s="1" t="s">
        <v>167</v>
      </c>
      <c r="B243" s="1" t="s">
        <v>488</v>
      </c>
      <c r="C243" s="1" t="s">
        <v>238</v>
      </c>
      <c r="D243" s="1" t="s">
        <v>210</v>
      </c>
      <c r="F243" s="13">
        <v>4.7</v>
      </c>
      <c r="G243" s="12">
        <f t="shared" si="115"/>
        <v>4.8600000000000003</v>
      </c>
      <c r="H243" s="1">
        <v>5.15</v>
      </c>
      <c r="L243" s="1">
        <v>4.57</v>
      </c>
      <c r="P243" s="1" t="s">
        <v>605</v>
      </c>
      <c r="Q243" s="1">
        <f>95/131</f>
        <v>0.72519083969465647</v>
      </c>
      <c r="R243" s="3"/>
      <c r="T243" s="1" t="s">
        <v>486</v>
      </c>
      <c r="U243" s="1">
        <v>700</v>
      </c>
      <c r="V243" s="1">
        <v>1</v>
      </c>
      <c r="W243" s="1" t="s">
        <v>50</v>
      </c>
      <c r="Y243" s="1" t="s">
        <v>15</v>
      </c>
      <c r="Z243" s="1">
        <v>2</v>
      </c>
      <c r="AA243" s="1" t="s">
        <v>494</v>
      </c>
      <c r="AB243" s="1">
        <v>1</v>
      </c>
      <c r="AC243" s="1" t="s">
        <v>484</v>
      </c>
      <c r="AD243" s="5" t="s">
        <v>485</v>
      </c>
      <c r="AE243" s="13" t="s">
        <v>814</v>
      </c>
      <c r="AF243" s="13">
        <v>4.7</v>
      </c>
      <c r="AG243" s="5"/>
      <c r="AI243" s="1">
        <v>3</v>
      </c>
      <c r="AJ243" s="1">
        <v>5.2</v>
      </c>
      <c r="AM243" s="2"/>
      <c r="AN243" s="3"/>
      <c r="AP243" s="15">
        <v>100</v>
      </c>
      <c r="AQ243" s="1">
        <v>0.1</v>
      </c>
      <c r="AR243" s="3">
        <v>0.1</v>
      </c>
      <c r="AS243" s="3">
        <v>0.1</v>
      </c>
      <c r="AT243" s="3"/>
      <c r="AU243" s="3"/>
      <c r="AV243" s="1">
        <v>167</v>
      </c>
      <c r="AW243" s="3">
        <v>17</v>
      </c>
      <c r="AX243" s="3">
        <v>17</v>
      </c>
      <c r="AY243" s="1">
        <v>131</v>
      </c>
      <c r="AZ243" s="1">
        <v>106</v>
      </c>
      <c r="BA243" s="1">
        <v>101</v>
      </c>
      <c r="BC243" s="1" t="s">
        <v>426</v>
      </c>
      <c r="BD243" s="1">
        <f t="shared" si="111"/>
        <v>0.77099236641221369</v>
      </c>
      <c r="BE243" s="1">
        <f t="shared" si="112"/>
        <v>0.6</v>
      </c>
      <c r="BG243" s="3">
        <f>AY243/167</f>
        <v>0.78443113772455086</v>
      </c>
    </row>
    <row r="244" spans="1:59" ht="17.25" customHeight="1" x14ac:dyDescent="0.2">
      <c r="A244" s="4" t="s">
        <v>167</v>
      </c>
      <c r="B244" s="4" t="s">
        <v>488</v>
      </c>
      <c r="C244" s="4" t="s">
        <v>238</v>
      </c>
      <c r="D244" s="4" t="s">
        <v>210</v>
      </c>
      <c r="F244" s="12">
        <v>4.7</v>
      </c>
      <c r="G244" s="12" t="e">
        <f t="shared" si="115"/>
        <v>#DIV/0!</v>
      </c>
      <c r="T244" s="4" t="s">
        <v>487</v>
      </c>
      <c r="U244" s="4">
        <v>550</v>
      </c>
      <c r="V244" s="4">
        <v>1</v>
      </c>
      <c r="W244" s="4" t="s">
        <v>50</v>
      </c>
      <c r="Y244" s="4" t="s">
        <v>15</v>
      </c>
      <c r="Z244" s="4">
        <v>2</v>
      </c>
      <c r="AA244" s="4" t="s">
        <v>494</v>
      </c>
      <c r="AB244" s="4">
        <v>1</v>
      </c>
      <c r="AC244" s="4" t="s">
        <v>484</v>
      </c>
      <c r="AD244" s="6" t="s">
        <v>485</v>
      </c>
      <c r="AE244" s="12" t="s">
        <v>814</v>
      </c>
      <c r="AF244" s="12">
        <v>4.7</v>
      </c>
      <c r="AG244" s="6"/>
      <c r="AI244" s="4">
        <v>3</v>
      </c>
      <c r="AJ244" s="4">
        <v>5.2</v>
      </c>
      <c r="AM244" s="10"/>
      <c r="AP244" s="15">
        <v>100</v>
      </c>
      <c r="AQ244" s="4">
        <v>0.1</v>
      </c>
      <c r="AR244" s="7">
        <v>0.1</v>
      </c>
      <c r="AS244" s="7">
        <v>0.1</v>
      </c>
      <c r="AV244" s="4">
        <v>167</v>
      </c>
      <c r="AW244" s="7">
        <v>17</v>
      </c>
      <c r="AX244" s="7">
        <v>17</v>
      </c>
      <c r="AY244" s="4">
        <v>107</v>
      </c>
      <c r="AZ244" s="4">
        <v>55</v>
      </c>
      <c r="BA244" s="4">
        <v>46</v>
      </c>
      <c r="BD244" s="4">
        <f t="shared" si="111"/>
        <v>0.42990654205607476</v>
      </c>
      <c r="BE244" s="4">
        <f t="shared" si="112"/>
        <v>1.22</v>
      </c>
      <c r="BG244" s="7">
        <f>AY244/145</f>
        <v>0.73793103448275865</v>
      </c>
    </row>
    <row r="245" spans="1:59" s="1" customFormat="1" ht="19.5" customHeight="1" x14ac:dyDescent="0.2">
      <c r="A245" s="1">
        <v>25</v>
      </c>
      <c r="B245" s="1" t="s">
        <v>491</v>
      </c>
      <c r="C245" s="1" t="s">
        <v>398</v>
      </c>
      <c r="D245" s="1" t="s">
        <v>351</v>
      </c>
      <c r="F245" s="13">
        <v>4</v>
      </c>
      <c r="G245" s="12">
        <f t="shared" si="115"/>
        <v>4.05</v>
      </c>
      <c r="H245" s="1">
        <v>4.0999999999999996</v>
      </c>
      <c r="L245" s="1">
        <v>4</v>
      </c>
      <c r="P245" s="1" t="s">
        <v>620</v>
      </c>
      <c r="Q245" s="1">
        <f>69/113</f>
        <v>0.61061946902654862</v>
      </c>
      <c r="R245" s="3">
        <v>0</v>
      </c>
      <c r="T245" s="1" t="s">
        <v>495</v>
      </c>
      <c r="U245" s="1">
        <v>500</v>
      </c>
      <c r="V245" s="1">
        <v>2</v>
      </c>
      <c r="W245" s="1" t="s">
        <v>492</v>
      </c>
      <c r="Y245" s="1" t="s">
        <v>15</v>
      </c>
      <c r="Z245" s="1">
        <v>2</v>
      </c>
      <c r="AA245" s="1" t="s">
        <v>493</v>
      </c>
      <c r="AB245" s="1">
        <v>1</v>
      </c>
      <c r="AC245" s="1" t="s">
        <v>489</v>
      </c>
      <c r="AD245" s="5" t="s">
        <v>490</v>
      </c>
      <c r="AE245" s="13" t="s">
        <v>814</v>
      </c>
      <c r="AF245" s="13">
        <v>4</v>
      </c>
      <c r="AG245" s="5"/>
      <c r="AI245" s="1">
        <v>2.7</v>
      </c>
      <c r="AJ245" s="1">
        <v>4.5</v>
      </c>
      <c r="AL245" s="1" t="s">
        <v>419</v>
      </c>
      <c r="AM245" s="2"/>
      <c r="AN245" s="3"/>
      <c r="AP245" s="15">
        <v>10</v>
      </c>
      <c r="AQ245" s="1">
        <v>0.05</v>
      </c>
      <c r="AR245" s="3">
        <v>0.05</v>
      </c>
      <c r="AS245" s="3">
        <v>0.5</v>
      </c>
      <c r="AT245" s="3"/>
      <c r="AU245" s="3"/>
      <c r="AV245" s="1">
        <v>170</v>
      </c>
      <c r="AW245" s="3">
        <f t="shared" ref="AW245:AW252" si="128">AR245*AV245</f>
        <v>8.5</v>
      </c>
      <c r="AX245" s="3">
        <f t="shared" ref="AX245:AX253" si="129">AS245*AV245</f>
        <v>85</v>
      </c>
      <c r="AY245" s="1">
        <v>91</v>
      </c>
      <c r="AZ245" s="1">
        <v>81</v>
      </c>
      <c r="BA245" s="1">
        <v>79</v>
      </c>
      <c r="BD245" s="1">
        <f t="shared" si="111"/>
        <v>0.86813186813186816</v>
      </c>
      <c r="BE245" s="1">
        <f t="shared" si="112"/>
        <v>0.24</v>
      </c>
      <c r="BG245" s="3"/>
    </row>
    <row r="246" spans="1:59" ht="17.25" customHeight="1" x14ac:dyDescent="0.2">
      <c r="A246" s="4">
        <v>25</v>
      </c>
      <c r="B246" s="4" t="s">
        <v>491</v>
      </c>
      <c r="C246" s="4" t="s">
        <v>398</v>
      </c>
      <c r="D246" s="4" t="s">
        <v>351</v>
      </c>
      <c r="F246" s="12">
        <v>4</v>
      </c>
      <c r="G246" s="12">
        <f t="shared" si="115"/>
        <v>4.05</v>
      </c>
      <c r="H246" s="4">
        <v>4.0999999999999996</v>
      </c>
      <c r="L246" s="4">
        <v>4</v>
      </c>
      <c r="Q246" s="4">
        <f>96/139</f>
        <v>0.69064748201438853</v>
      </c>
      <c r="R246" s="7">
        <f>4/96</f>
        <v>4.1666666666666664E-2</v>
      </c>
      <c r="T246" s="4" t="s">
        <v>496</v>
      </c>
      <c r="U246" s="4">
        <v>500</v>
      </c>
      <c r="V246" s="4">
        <v>2</v>
      </c>
      <c r="W246" s="4" t="s">
        <v>492</v>
      </c>
      <c r="Y246" s="4" t="s">
        <v>15</v>
      </c>
      <c r="Z246" s="4">
        <v>2</v>
      </c>
      <c r="AA246" s="4" t="s">
        <v>493</v>
      </c>
      <c r="AB246" s="4">
        <v>1</v>
      </c>
      <c r="AC246" s="4" t="s">
        <v>489</v>
      </c>
      <c r="AD246" s="6" t="s">
        <v>490</v>
      </c>
      <c r="AE246" s="12" t="s">
        <v>814</v>
      </c>
      <c r="AF246" s="12">
        <v>4</v>
      </c>
      <c r="AG246" s="6"/>
      <c r="AI246" s="4">
        <v>2.7</v>
      </c>
      <c r="AJ246" s="4">
        <v>4.5</v>
      </c>
      <c r="AL246" s="4" t="s">
        <v>419</v>
      </c>
      <c r="AM246" s="10"/>
      <c r="AP246" s="15">
        <v>10</v>
      </c>
      <c r="AQ246" s="4">
        <v>0.05</v>
      </c>
      <c r="AR246" s="7">
        <v>0.05</v>
      </c>
      <c r="AS246" s="7">
        <v>0.5</v>
      </c>
      <c r="AV246" s="4">
        <v>170</v>
      </c>
      <c r="AW246" s="7">
        <f t="shared" si="128"/>
        <v>8.5</v>
      </c>
      <c r="AX246" s="7">
        <f t="shared" si="129"/>
        <v>85</v>
      </c>
      <c r="AY246" s="4">
        <v>119</v>
      </c>
      <c r="AZ246" s="4">
        <v>115</v>
      </c>
      <c r="BA246" s="4">
        <v>110</v>
      </c>
      <c r="BD246" s="4">
        <f t="shared" si="111"/>
        <v>0.92436974789915971</v>
      </c>
      <c r="BE246" s="4">
        <f t="shared" si="112"/>
        <v>0.18</v>
      </c>
      <c r="BG246" s="7">
        <f>147/177</f>
        <v>0.83050847457627119</v>
      </c>
    </row>
    <row r="247" spans="1:59" s="1" customFormat="1" ht="19.5" customHeight="1" x14ac:dyDescent="0.2">
      <c r="A247" s="1">
        <v>25</v>
      </c>
      <c r="B247" s="1" t="s">
        <v>491</v>
      </c>
      <c r="C247" s="1" t="s">
        <v>398</v>
      </c>
      <c r="D247" s="1" t="s">
        <v>351</v>
      </c>
      <c r="F247" s="13">
        <v>4</v>
      </c>
      <c r="G247" s="12">
        <f t="shared" si="115"/>
        <v>4.05</v>
      </c>
      <c r="H247" s="1">
        <v>4.0999999999999996</v>
      </c>
      <c r="L247" s="1">
        <v>4</v>
      </c>
      <c r="Q247" s="1">
        <f>126/156</f>
        <v>0.80769230769230771</v>
      </c>
      <c r="R247" s="3">
        <f>101/126</f>
        <v>0.80158730158730163</v>
      </c>
      <c r="T247" s="1" t="s">
        <v>497</v>
      </c>
      <c r="U247" s="1">
        <v>500</v>
      </c>
      <c r="V247" s="1">
        <v>2</v>
      </c>
      <c r="W247" s="1" t="s">
        <v>492</v>
      </c>
      <c r="Y247" s="1" t="s">
        <v>15</v>
      </c>
      <c r="Z247" s="1">
        <v>2</v>
      </c>
      <c r="AA247" s="1" t="s">
        <v>493</v>
      </c>
      <c r="AB247" s="1">
        <v>1</v>
      </c>
      <c r="AC247" s="1" t="s">
        <v>489</v>
      </c>
      <c r="AD247" s="5" t="s">
        <v>490</v>
      </c>
      <c r="AE247" s="13" t="s">
        <v>814</v>
      </c>
      <c r="AF247" s="13">
        <v>4</v>
      </c>
      <c r="AG247" s="5"/>
      <c r="AI247" s="1">
        <v>2.7</v>
      </c>
      <c r="AJ247" s="1">
        <v>4.5</v>
      </c>
      <c r="AL247" s="1" t="s">
        <v>419</v>
      </c>
      <c r="AM247" s="2"/>
      <c r="AN247" s="3"/>
      <c r="AP247" s="15">
        <v>10</v>
      </c>
      <c r="AQ247" s="1">
        <v>0.05</v>
      </c>
      <c r="AR247" s="3">
        <v>0.05</v>
      </c>
      <c r="AS247" s="3">
        <v>0.5</v>
      </c>
      <c r="AT247" s="3"/>
      <c r="AU247" s="3"/>
      <c r="AV247" s="1">
        <v>170</v>
      </c>
      <c r="AW247" s="3">
        <f t="shared" si="128"/>
        <v>8.5</v>
      </c>
      <c r="AX247" s="3">
        <f t="shared" si="129"/>
        <v>85</v>
      </c>
      <c r="AY247" s="1">
        <v>136</v>
      </c>
      <c r="AZ247" s="1">
        <v>130</v>
      </c>
      <c r="BA247" s="1">
        <v>129</v>
      </c>
      <c r="BD247" s="1">
        <f t="shared" si="111"/>
        <v>0.94852941176470584</v>
      </c>
      <c r="BE247" s="1">
        <f t="shared" si="112"/>
        <v>0.14000000000000001</v>
      </c>
      <c r="BG247" s="3">
        <f>157/184</f>
        <v>0.85326086956521741</v>
      </c>
    </row>
    <row r="248" spans="1:59" ht="17.25" customHeight="1" x14ac:dyDescent="0.2">
      <c r="A248" s="4">
        <v>25</v>
      </c>
      <c r="B248" s="4" t="s">
        <v>491</v>
      </c>
      <c r="C248" s="4" t="s">
        <v>398</v>
      </c>
      <c r="D248" s="4" t="s">
        <v>351</v>
      </c>
      <c r="F248" s="12">
        <v>4</v>
      </c>
      <c r="G248" s="12">
        <f t="shared" si="115"/>
        <v>4.05</v>
      </c>
      <c r="H248" s="4">
        <v>4.0999999999999996</v>
      </c>
      <c r="L248" s="4">
        <v>4</v>
      </c>
      <c r="Q248" s="4">
        <f>63/107</f>
        <v>0.58878504672897192</v>
      </c>
      <c r="R248" s="7">
        <f>14/63</f>
        <v>0.22222222222222221</v>
      </c>
      <c r="T248" s="4" t="s">
        <v>498</v>
      </c>
      <c r="U248" s="4">
        <v>500</v>
      </c>
      <c r="V248" s="4">
        <v>2</v>
      </c>
      <c r="W248" s="4" t="s">
        <v>492</v>
      </c>
      <c r="Y248" s="4" t="s">
        <v>15</v>
      </c>
      <c r="Z248" s="4">
        <v>2</v>
      </c>
      <c r="AA248" s="4" t="s">
        <v>493</v>
      </c>
      <c r="AB248" s="4">
        <v>1</v>
      </c>
      <c r="AC248" s="4" t="s">
        <v>489</v>
      </c>
      <c r="AD248" s="6" t="s">
        <v>490</v>
      </c>
      <c r="AE248" s="12" t="s">
        <v>814</v>
      </c>
      <c r="AF248" s="12">
        <v>4</v>
      </c>
      <c r="AG248" s="6"/>
      <c r="AI248" s="4">
        <v>2.7</v>
      </c>
      <c r="AJ248" s="4">
        <v>4.5</v>
      </c>
      <c r="AL248" s="4" t="s">
        <v>419</v>
      </c>
      <c r="AM248" s="10"/>
      <c r="AP248" s="15">
        <v>10</v>
      </c>
      <c r="AQ248" s="4">
        <v>0.05</v>
      </c>
      <c r="AR248" s="7">
        <v>0.05</v>
      </c>
      <c r="AS248" s="7">
        <v>0.5</v>
      </c>
      <c r="AV248" s="4">
        <v>170</v>
      </c>
      <c r="AW248" s="7">
        <f t="shared" si="128"/>
        <v>8.5</v>
      </c>
      <c r="AX248" s="7">
        <f t="shared" si="129"/>
        <v>85</v>
      </c>
      <c r="AY248" s="4">
        <v>78</v>
      </c>
      <c r="AZ248" s="4">
        <v>74</v>
      </c>
      <c r="BA248" s="4">
        <v>74</v>
      </c>
      <c r="BD248" s="4">
        <f t="shared" si="111"/>
        <v>0.94871794871794868</v>
      </c>
      <c r="BE248" s="4">
        <f t="shared" si="112"/>
        <v>0.08</v>
      </c>
    </row>
    <row r="249" spans="1:59" s="1" customFormat="1" ht="19.5" customHeight="1" x14ac:dyDescent="0.2">
      <c r="A249" s="1">
        <v>55</v>
      </c>
      <c r="B249" s="1" t="s">
        <v>491</v>
      </c>
      <c r="C249" s="1" t="s">
        <v>398</v>
      </c>
      <c r="D249" s="1" t="s">
        <v>351</v>
      </c>
      <c r="F249" s="13"/>
      <c r="G249" s="12" t="e">
        <f t="shared" si="115"/>
        <v>#DIV/0!</v>
      </c>
      <c r="R249" s="3"/>
      <c r="T249" s="1" t="s">
        <v>495</v>
      </c>
      <c r="U249" s="1">
        <v>500</v>
      </c>
      <c r="V249" s="1">
        <v>2</v>
      </c>
      <c r="W249" s="1" t="s">
        <v>492</v>
      </c>
      <c r="Y249" s="1" t="s">
        <v>15</v>
      </c>
      <c r="Z249" s="1">
        <v>2</v>
      </c>
      <c r="AA249" s="1" t="s">
        <v>493</v>
      </c>
      <c r="AB249" s="1">
        <v>1</v>
      </c>
      <c r="AC249" s="1" t="s">
        <v>489</v>
      </c>
      <c r="AD249" s="5" t="s">
        <v>490</v>
      </c>
      <c r="AE249" s="13" t="s">
        <v>814</v>
      </c>
      <c r="AF249" s="13"/>
      <c r="AG249" s="5"/>
      <c r="AI249" s="1">
        <v>2.7</v>
      </c>
      <c r="AJ249" s="1">
        <v>4.5</v>
      </c>
      <c r="AL249" s="1" t="s">
        <v>419</v>
      </c>
      <c r="AM249" s="2"/>
      <c r="AN249" s="3"/>
      <c r="AP249" s="15">
        <v>10</v>
      </c>
      <c r="AQ249" s="1">
        <v>0.05</v>
      </c>
      <c r="AR249" s="3">
        <v>0.05</v>
      </c>
      <c r="AS249" s="3">
        <v>0.5</v>
      </c>
      <c r="AT249" s="3"/>
      <c r="AU249" s="3"/>
      <c r="AV249" s="1">
        <v>170</v>
      </c>
      <c r="AW249" s="3">
        <f t="shared" si="128"/>
        <v>8.5</v>
      </c>
      <c r="AX249" s="3">
        <f t="shared" si="129"/>
        <v>85</v>
      </c>
      <c r="AY249" s="1">
        <v>130</v>
      </c>
      <c r="AZ249" s="1">
        <v>106</v>
      </c>
      <c r="BA249" s="1">
        <v>85</v>
      </c>
      <c r="BD249" s="1">
        <f t="shared" si="111"/>
        <v>0.65384615384615385</v>
      </c>
      <c r="BE249" s="1">
        <f t="shared" si="112"/>
        <v>0.9</v>
      </c>
      <c r="BG249" s="3"/>
    </row>
    <row r="250" spans="1:59" ht="17.25" customHeight="1" x14ac:dyDescent="0.2">
      <c r="A250" s="4">
        <v>55</v>
      </c>
      <c r="B250" s="4" t="s">
        <v>491</v>
      </c>
      <c r="C250" s="4" t="s">
        <v>398</v>
      </c>
      <c r="D250" s="4" t="s">
        <v>351</v>
      </c>
      <c r="F250" s="12"/>
      <c r="G250" s="12" t="e">
        <f t="shared" si="115"/>
        <v>#DIV/0!</v>
      </c>
      <c r="T250" s="4" t="s">
        <v>496</v>
      </c>
      <c r="U250" s="4">
        <v>500</v>
      </c>
      <c r="V250" s="4">
        <v>2</v>
      </c>
      <c r="W250" s="4" t="s">
        <v>492</v>
      </c>
      <c r="Y250" s="4" t="s">
        <v>15</v>
      </c>
      <c r="Z250" s="4">
        <v>2</v>
      </c>
      <c r="AA250" s="4" t="s">
        <v>493</v>
      </c>
      <c r="AB250" s="4">
        <v>1</v>
      </c>
      <c r="AC250" s="4" t="s">
        <v>489</v>
      </c>
      <c r="AD250" s="6" t="s">
        <v>490</v>
      </c>
      <c r="AE250" s="12" t="s">
        <v>814</v>
      </c>
      <c r="AF250" s="12"/>
      <c r="AG250" s="6"/>
      <c r="AI250" s="4">
        <v>2.7</v>
      </c>
      <c r="AJ250" s="4">
        <v>4.5</v>
      </c>
      <c r="AL250" s="4" t="s">
        <v>419</v>
      </c>
      <c r="AM250" s="10"/>
      <c r="AP250" s="15">
        <v>10</v>
      </c>
      <c r="AQ250" s="4">
        <v>0.05</v>
      </c>
      <c r="AR250" s="7">
        <v>0.05</v>
      </c>
      <c r="AS250" s="7">
        <v>0.5</v>
      </c>
      <c r="AV250" s="4">
        <v>170</v>
      </c>
      <c r="AW250" s="7">
        <f t="shared" si="128"/>
        <v>8.5</v>
      </c>
      <c r="AX250" s="7">
        <f t="shared" si="129"/>
        <v>85</v>
      </c>
      <c r="AY250" s="4">
        <v>146</v>
      </c>
      <c r="AZ250" s="4">
        <v>120</v>
      </c>
      <c r="BA250" s="4">
        <v>107</v>
      </c>
      <c r="BD250" s="4">
        <f t="shared" si="111"/>
        <v>0.73287671232876717</v>
      </c>
      <c r="BE250" s="4">
        <f t="shared" si="112"/>
        <v>0.78</v>
      </c>
    </row>
    <row r="251" spans="1:59" s="1" customFormat="1" ht="19.5" customHeight="1" x14ac:dyDescent="0.2">
      <c r="A251" s="1">
        <v>55</v>
      </c>
      <c r="B251" s="1" t="s">
        <v>491</v>
      </c>
      <c r="C251" s="1" t="s">
        <v>398</v>
      </c>
      <c r="D251" s="1" t="s">
        <v>351</v>
      </c>
      <c r="F251" s="13"/>
      <c r="G251" s="12" t="e">
        <f t="shared" si="115"/>
        <v>#DIV/0!</v>
      </c>
      <c r="R251" s="3"/>
      <c r="T251" s="1" t="s">
        <v>497</v>
      </c>
      <c r="U251" s="1">
        <v>500</v>
      </c>
      <c r="V251" s="1">
        <v>2</v>
      </c>
      <c r="W251" s="1" t="s">
        <v>492</v>
      </c>
      <c r="Y251" s="1" t="s">
        <v>15</v>
      </c>
      <c r="Z251" s="1">
        <v>2</v>
      </c>
      <c r="AA251" s="1" t="s">
        <v>493</v>
      </c>
      <c r="AB251" s="1">
        <v>1</v>
      </c>
      <c r="AC251" s="1" t="s">
        <v>489</v>
      </c>
      <c r="AD251" s="5" t="s">
        <v>490</v>
      </c>
      <c r="AE251" s="13" t="s">
        <v>814</v>
      </c>
      <c r="AF251" s="13"/>
      <c r="AG251" s="5"/>
      <c r="AI251" s="1">
        <v>2.7</v>
      </c>
      <c r="AJ251" s="1">
        <v>4.5</v>
      </c>
      <c r="AL251" s="1" t="s">
        <v>419</v>
      </c>
      <c r="AM251" s="2"/>
      <c r="AN251" s="3"/>
      <c r="AP251" s="15">
        <v>10</v>
      </c>
      <c r="AQ251" s="1">
        <v>0.05</v>
      </c>
      <c r="AR251" s="3">
        <v>0.05</v>
      </c>
      <c r="AS251" s="3">
        <v>0.5</v>
      </c>
      <c r="AT251" s="3"/>
      <c r="AU251" s="3"/>
      <c r="AV251" s="1">
        <v>170</v>
      </c>
      <c r="AW251" s="3">
        <f t="shared" si="128"/>
        <v>8.5</v>
      </c>
      <c r="AX251" s="3">
        <f t="shared" si="129"/>
        <v>85</v>
      </c>
      <c r="AY251" s="1">
        <v>166</v>
      </c>
      <c r="AZ251" s="1">
        <v>155</v>
      </c>
      <c r="BA251" s="1">
        <v>145</v>
      </c>
      <c r="BD251" s="1">
        <f t="shared" si="111"/>
        <v>0.87349397590361444</v>
      </c>
      <c r="BE251" s="1">
        <f t="shared" si="112"/>
        <v>0.42</v>
      </c>
      <c r="BG251" s="3"/>
    </row>
    <row r="252" spans="1:59" ht="17.25" customHeight="1" x14ac:dyDescent="0.2">
      <c r="A252" s="4">
        <v>55</v>
      </c>
      <c r="B252" s="4" t="s">
        <v>491</v>
      </c>
      <c r="C252" s="4" t="s">
        <v>398</v>
      </c>
      <c r="D252" s="4" t="s">
        <v>351</v>
      </c>
      <c r="F252" s="12"/>
      <c r="G252" s="12" t="e">
        <f t="shared" si="115"/>
        <v>#DIV/0!</v>
      </c>
      <c r="T252" s="4" t="s">
        <v>498</v>
      </c>
      <c r="U252" s="4">
        <v>500</v>
      </c>
      <c r="V252" s="4">
        <v>2</v>
      </c>
      <c r="W252" s="4" t="s">
        <v>492</v>
      </c>
      <c r="Y252" s="4" t="s">
        <v>15</v>
      </c>
      <c r="Z252" s="4">
        <v>2</v>
      </c>
      <c r="AA252" s="4" t="s">
        <v>493</v>
      </c>
      <c r="AB252" s="4">
        <v>1</v>
      </c>
      <c r="AC252" s="4" t="s">
        <v>489</v>
      </c>
      <c r="AD252" s="6" t="s">
        <v>490</v>
      </c>
      <c r="AE252" s="12" t="s">
        <v>814</v>
      </c>
      <c r="AF252" s="12"/>
      <c r="AG252" s="6"/>
      <c r="AI252" s="4">
        <v>2.7</v>
      </c>
      <c r="AJ252" s="4">
        <v>4.5</v>
      </c>
      <c r="AL252" s="4" t="s">
        <v>419</v>
      </c>
      <c r="AM252" s="10"/>
      <c r="AP252" s="15">
        <v>10</v>
      </c>
      <c r="AQ252" s="4">
        <v>0.05</v>
      </c>
      <c r="AR252" s="7">
        <v>0.05</v>
      </c>
      <c r="AS252" s="7">
        <v>0.5</v>
      </c>
      <c r="AV252" s="4">
        <v>170</v>
      </c>
      <c r="AW252" s="7">
        <f t="shared" si="128"/>
        <v>8.5</v>
      </c>
      <c r="AX252" s="7">
        <f t="shared" si="129"/>
        <v>85</v>
      </c>
      <c r="AY252" s="4">
        <v>144</v>
      </c>
      <c r="AZ252" s="4">
        <v>121</v>
      </c>
      <c r="BA252" s="4">
        <v>106</v>
      </c>
      <c r="BD252" s="4">
        <f t="shared" ref="BD252:BD267" si="130">BA252/AY252</f>
        <v>0.73611111111111116</v>
      </c>
      <c r="BE252" s="4">
        <f t="shared" ref="BE252:BE267" si="131">(AY252-BA252)/50</f>
        <v>0.76</v>
      </c>
    </row>
    <row r="253" spans="1:59" s="1" customFormat="1" ht="19.5" customHeight="1" x14ac:dyDescent="0.2">
      <c r="A253" s="1">
        <v>23</v>
      </c>
      <c r="B253" s="1" t="s">
        <v>88</v>
      </c>
      <c r="C253" s="1" t="s">
        <v>362</v>
      </c>
      <c r="D253" s="1" t="s">
        <v>210</v>
      </c>
      <c r="F253" s="13"/>
      <c r="G253" s="12">
        <f t="shared" si="115"/>
        <v>4.3949999999999996</v>
      </c>
      <c r="H253" s="1">
        <v>4.42</v>
      </c>
      <c r="L253" s="1">
        <v>4.37</v>
      </c>
      <c r="R253" s="3"/>
      <c r="V253" s="1">
        <v>4</v>
      </c>
      <c r="W253" s="1" t="s">
        <v>503</v>
      </c>
      <c r="Y253" s="1" t="s">
        <v>15</v>
      </c>
      <c r="Z253" s="1">
        <v>2</v>
      </c>
      <c r="AA253" s="1" t="s">
        <v>500</v>
      </c>
      <c r="AB253" s="1">
        <v>1</v>
      </c>
      <c r="AC253" s="1" t="s">
        <v>499</v>
      </c>
      <c r="AD253" s="5" t="s">
        <v>502</v>
      </c>
      <c r="AE253" s="13" t="s">
        <v>832</v>
      </c>
      <c r="AF253" s="13"/>
      <c r="AG253" s="5"/>
      <c r="AI253" s="1">
        <v>3</v>
      </c>
      <c r="AJ253" s="1">
        <v>4.4000000000000004</v>
      </c>
      <c r="AM253" s="2" t="s">
        <v>501</v>
      </c>
      <c r="AN253" s="3"/>
      <c r="AP253" s="15"/>
      <c r="AR253" s="3">
        <v>0.2</v>
      </c>
      <c r="AS253" s="3">
        <v>0.2</v>
      </c>
      <c r="AT253" s="3"/>
      <c r="AU253" s="3"/>
      <c r="AV253" s="1">
        <v>155</v>
      </c>
      <c r="AW253" s="3">
        <f t="shared" ref="AW253:AW258" si="132">AR253*AV253</f>
        <v>31</v>
      </c>
      <c r="AX253" s="3">
        <f t="shared" si="129"/>
        <v>31</v>
      </c>
      <c r="AY253" s="1">
        <v>137</v>
      </c>
      <c r="AZ253" s="1">
        <v>131</v>
      </c>
      <c r="BA253" s="1">
        <v>128</v>
      </c>
      <c r="BB253" s="1">
        <v>122</v>
      </c>
      <c r="BD253" s="1">
        <f t="shared" si="130"/>
        <v>0.93430656934306566</v>
      </c>
      <c r="BE253" s="1">
        <f t="shared" si="131"/>
        <v>0.18</v>
      </c>
      <c r="BG253" s="3">
        <f>AY253/145</f>
        <v>0.94482758620689655</v>
      </c>
    </row>
    <row r="254" spans="1:59" ht="17.25" customHeight="1" x14ac:dyDescent="0.2">
      <c r="A254" s="4">
        <v>23</v>
      </c>
      <c r="B254" s="4" t="s">
        <v>88</v>
      </c>
      <c r="C254" s="4" t="s">
        <v>362</v>
      </c>
      <c r="D254" s="4" t="s">
        <v>210</v>
      </c>
      <c r="F254" s="12"/>
      <c r="G254" s="12">
        <f t="shared" si="115"/>
        <v>4.1500000000000004</v>
      </c>
      <c r="H254" s="4">
        <v>4.2</v>
      </c>
      <c r="L254" s="4">
        <v>4.0999999999999996</v>
      </c>
      <c r="V254" s="4">
        <v>4</v>
      </c>
      <c r="W254" s="4" t="s">
        <v>503</v>
      </c>
      <c r="Y254" s="4" t="s">
        <v>82</v>
      </c>
      <c r="Z254" s="4">
        <v>1</v>
      </c>
      <c r="AA254" s="4" t="s">
        <v>500</v>
      </c>
      <c r="AB254" s="4">
        <v>1</v>
      </c>
      <c r="AC254" s="4" t="s">
        <v>499</v>
      </c>
      <c r="AD254" s="6" t="s">
        <v>502</v>
      </c>
      <c r="AE254" s="12" t="s">
        <v>832</v>
      </c>
      <c r="AF254" s="12"/>
      <c r="AG254" s="6"/>
      <c r="AI254" s="4">
        <v>3</v>
      </c>
      <c r="AJ254" s="4">
        <v>4.4000000000000004</v>
      </c>
      <c r="AM254" s="10" t="s">
        <v>501</v>
      </c>
      <c r="AR254" s="7">
        <v>0.2</v>
      </c>
      <c r="AS254" s="7">
        <v>0.2</v>
      </c>
      <c r="AV254" s="4">
        <v>155</v>
      </c>
      <c r="AW254" s="7">
        <f t="shared" si="132"/>
        <v>31</v>
      </c>
      <c r="AX254" s="7">
        <f t="shared" ref="AX254" si="133">AS254*AV254</f>
        <v>31</v>
      </c>
      <c r="AY254" s="4">
        <v>120</v>
      </c>
      <c r="AZ254" s="4">
        <v>122</v>
      </c>
      <c r="BA254" s="4">
        <v>122</v>
      </c>
      <c r="BB254" s="4">
        <v>120</v>
      </c>
      <c r="BD254" s="4">
        <f t="shared" si="130"/>
        <v>1.0166666666666666</v>
      </c>
      <c r="BE254" s="4">
        <f t="shared" si="131"/>
        <v>-0.04</v>
      </c>
    </row>
    <row r="255" spans="1:59" s="1" customFormat="1" ht="19.5" customHeight="1" x14ac:dyDescent="0.2">
      <c r="A255" s="1">
        <v>45</v>
      </c>
      <c r="B255" s="1" t="s">
        <v>88</v>
      </c>
      <c r="C255" s="1" t="s">
        <v>362</v>
      </c>
      <c r="D255" s="1" t="s">
        <v>210</v>
      </c>
      <c r="F255" s="13"/>
      <c r="G255" s="12" t="e">
        <f t="shared" si="115"/>
        <v>#DIV/0!</v>
      </c>
      <c r="R255" s="3"/>
      <c r="V255" s="1">
        <v>4</v>
      </c>
      <c r="W255" s="1" t="s">
        <v>503</v>
      </c>
      <c r="Y255" s="1" t="s">
        <v>82</v>
      </c>
      <c r="Z255" s="1">
        <v>1</v>
      </c>
      <c r="AA255" s="1" t="s">
        <v>500</v>
      </c>
      <c r="AB255" s="1">
        <v>1</v>
      </c>
      <c r="AC255" s="1" t="s">
        <v>499</v>
      </c>
      <c r="AD255" s="5" t="s">
        <v>502</v>
      </c>
      <c r="AE255" s="13" t="s">
        <v>832</v>
      </c>
      <c r="AF255" s="13"/>
      <c r="AG255" s="5"/>
      <c r="AI255" s="1">
        <v>3</v>
      </c>
      <c r="AJ255" s="1">
        <v>4.4000000000000004</v>
      </c>
      <c r="AM255" s="2" t="s">
        <v>501</v>
      </c>
      <c r="AN255" s="3"/>
      <c r="AP255" s="15"/>
      <c r="AR255" s="3">
        <v>0.2</v>
      </c>
      <c r="AS255" s="3">
        <v>0.2</v>
      </c>
      <c r="AT255" s="3"/>
      <c r="AU255" s="3"/>
      <c r="AV255" s="1">
        <v>155</v>
      </c>
      <c r="AW255" s="3">
        <f t="shared" si="132"/>
        <v>31</v>
      </c>
      <c r="AX255" s="3">
        <f t="shared" ref="AX255:AX256" si="134">AS255*AV255</f>
        <v>31</v>
      </c>
      <c r="AY255" s="1">
        <v>129</v>
      </c>
      <c r="AZ255" s="1">
        <v>126</v>
      </c>
      <c r="BA255" s="1">
        <v>123</v>
      </c>
      <c r="BB255" s="1">
        <v>117</v>
      </c>
      <c r="BD255" s="1">
        <f t="shared" si="130"/>
        <v>0.95348837209302328</v>
      </c>
      <c r="BE255" s="1">
        <f t="shared" si="131"/>
        <v>0.12</v>
      </c>
      <c r="BG255" s="3"/>
    </row>
    <row r="256" spans="1:59" ht="17.25" customHeight="1" x14ac:dyDescent="0.2">
      <c r="A256" s="4" t="s">
        <v>167</v>
      </c>
      <c r="B256" s="4" t="s">
        <v>504</v>
      </c>
      <c r="C256" s="4" t="s">
        <v>508</v>
      </c>
      <c r="F256" s="12">
        <v>2.7</v>
      </c>
      <c r="G256" s="12">
        <f t="shared" si="115"/>
        <v>2.75</v>
      </c>
      <c r="H256" s="4">
        <v>2.8</v>
      </c>
      <c r="L256" s="4">
        <v>2.7</v>
      </c>
      <c r="V256" s="4">
        <v>5</v>
      </c>
      <c r="W256" s="4" t="s">
        <v>507</v>
      </c>
      <c r="Y256" s="4" t="s">
        <v>15</v>
      </c>
      <c r="Z256" s="4">
        <v>2</v>
      </c>
      <c r="AA256" s="4" t="s">
        <v>509</v>
      </c>
      <c r="AB256" s="4">
        <v>1</v>
      </c>
      <c r="AC256" s="4" t="s">
        <v>505</v>
      </c>
      <c r="AD256" s="6" t="s">
        <v>506</v>
      </c>
      <c r="AE256" s="12" t="s">
        <v>832</v>
      </c>
      <c r="AF256" s="12">
        <v>2.7</v>
      </c>
      <c r="AG256" s="6"/>
      <c r="AI256" s="4">
        <v>1.5</v>
      </c>
      <c r="AJ256" s="4">
        <v>4</v>
      </c>
      <c r="AL256" s="4" t="s">
        <v>510</v>
      </c>
      <c r="AM256" s="10"/>
      <c r="AP256" s="15">
        <v>1000</v>
      </c>
      <c r="AQ256" s="4">
        <v>1</v>
      </c>
      <c r="AR256" s="7">
        <v>0.1</v>
      </c>
      <c r="AS256" s="7">
        <v>0.1</v>
      </c>
      <c r="AV256" s="4">
        <v>152</v>
      </c>
      <c r="AW256" s="7">
        <f t="shared" si="132"/>
        <v>15.200000000000001</v>
      </c>
      <c r="AX256" s="7">
        <f t="shared" si="134"/>
        <v>15.200000000000001</v>
      </c>
      <c r="AY256" s="4">
        <v>152</v>
      </c>
      <c r="AZ256" s="4">
        <v>138</v>
      </c>
      <c r="BA256" s="4">
        <v>137</v>
      </c>
      <c r="BC256" s="4" t="s">
        <v>511</v>
      </c>
      <c r="BD256" s="4">
        <f t="shared" si="130"/>
        <v>0.90131578947368418</v>
      </c>
      <c r="BE256" s="4">
        <f t="shared" si="131"/>
        <v>0.3</v>
      </c>
      <c r="BG256" s="7">
        <f>142/150</f>
        <v>0.94666666666666666</v>
      </c>
    </row>
    <row r="257" spans="1:59" s="1" customFormat="1" ht="19.5" customHeight="1" x14ac:dyDescent="0.2">
      <c r="A257" s="1">
        <v>55</v>
      </c>
      <c r="B257" s="1" t="s">
        <v>504</v>
      </c>
      <c r="C257" s="1" t="s">
        <v>508</v>
      </c>
      <c r="F257" s="13"/>
      <c r="G257" s="12" t="e">
        <f t="shared" si="115"/>
        <v>#DIV/0!</v>
      </c>
      <c r="R257" s="3"/>
      <c r="V257" s="1">
        <v>5</v>
      </c>
      <c r="W257" s="1" t="s">
        <v>507</v>
      </c>
      <c r="Y257" s="1" t="s">
        <v>15</v>
      </c>
      <c r="Z257" s="1">
        <v>2</v>
      </c>
      <c r="AA257" s="1" t="s">
        <v>509</v>
      </c>
      <c r="AB257" s="1">
        <v>1</v>
      </c>
      <c r="AC257" s="1" t="s">
        <v>505</v>
      </c>
      <c r="AD257" s="5" t="s">
        <v>506</v>
      </c>
      <c r="AE257" s="13" t="s">
        <v>832</v>
      </c>
      <c r="AF257" s="13"/>
      <c r="AG257" s="5"/>
      <c r="AI257" s="1">
        <v>1.5</v>
      </c>
      <c r="AJ257" s="1">
        <v>4</v>
      </c>
      <c r="AL257" s="1" t="s">
        <v>510</v>
      </c>
      <c r="AM257" s="2"/>
      <c r="AN257" s="3"/>
      <c r="AP257" s="15">
        <v>1000</v>
      </c>
      <c r="AQ257" s="1">
        <v>1</v>
      </c>
      <c r="AR257" s="3">
        <v>0.1</v>
      </c>
      <c r="AS257" s="3">
        <v>0.1</v>
      </c>
      <c r="AT257" s="3"/>
      <c r="AU257" s="3"/>
      <c r="AV257" s="1">
        <v>152</v>
      </c>
      <c r="AW257" s="3">
        <f t="shared" si="132"/>
        <v>15.200000000000001</v>
      </c>
      <c r="AX257" s="3">
        <f t="shared" ref="AX257:AX258" si="135">AS257*AV257</f>
        <v>15.200000000000001</v>
      </c>
      <c r="AY257" s="1">
        <v>145</v>
      </c>
      <c r="AZ257" s="1">
        <v>138</v>
      </c>
      <c r="BA257" s="1">
        <v>137</v>
      </c>
      <c r="BC257" s="1" t="s">
        <v>511</v>
      </c>
      <c r="BD257" s="1">
        <f t="shared" si="130"/>
        <v>0.94482758620689655</v>
      </c>
      <c r="BE257" s="1">
        <f t="shared" si="131"/>
        <v>0.16</v>
      </c>
      <c r="BG257" s="3"/>
    </row>
    <row r="258" spans="1:59" ht="17.25" customHeight="1" x14ac:dyDescent="0.2">
      <c r="A258" s="4" t="s">
        <v>167</v>
      </c>
      <c r="B258" s="4" t="s">
        <v>5</v>
      </c>
      <c r="C258" s="4" t="s">
        <v>675</v>
      </c>
      <c r="D258" s="4" t="s">
        <v>210</v>
      </c>
      <c r="F258" s="12"/>
      <c r="G258" s="12">
        <f t="shared" si="115"/>
        <v>4.1999999999999993</v>
      </c>
      <c r="H258" s="4">
        <v>4</v>
      </c>
      <c r="I258" s="4">
        <v>4.7</v>
      </c>
      <c r="L258" s="4">
        <v>3.7</v>
      </c>
      <c r="M258" s="4">
        <v>4.4000000000000004</v>
      </c>
      <c r="Q258" s="4">
        <f>105/112</f>
        <v>0.9375</v>
      </c>
      <c r="R258" s="7">
        <v>0</v>
      </c>
      <c r="V258" s="4">
        <v>2</v>
      </c>
      <c r="W258" s="4" t="s">
        <v>406</v>
      </c>
      <c r="Y258" s="4" t="s">
        <v>15</v>
      </c>
      <c r="Z258" s="4">
        <v>2</v>
      </c>
      <c r="AA258" s="4" t="s">
        <v>513</v>
      </c>
      <c r="AB258" s="4">
        <v>1</v>
      </c>
      <c r="AC258" s="4" t="s">
        <v>528</v>
      </c>
      <c r="AD258" s="6" t="s">
        <v>512</v>
      </c>
      <c r="AE258" s="12" t="s">
        <v>820</v>
      </c>
      <c r="AF258" s="12"/>
      <c r="AG258" s="6"/>
      <c r="AI258" s="4">
        <v>3.5</v>
      </c>
      <c r="AJ258" s="4">
        <v>4.5</v>
      </c>
      <c r="AM258" s="10"/>
      <c r="AP258" s="15">
        <v>500</v>
      </c>
      <c r="AQ258" s="4">
        <v>0.5</v>
      </c>
      <c r="AR258" s="7">
        <v>0.2</v>
      </c>
      <c r="AS258" s="7">
        <v>0.2</v>
      </c>
      <c r="AV258" s="4">
        <v>148.19999999999999</v>
      </c>
      <c r="AW258" s="7">
        <f t="shared" si="132"/>
        <v>29.64</v>
      </c>
      <c r="AX258" s="7">
        <f t="shared" si="135"/>
        <v>29.64</v>
      </c>
      <c r="AY258" s="4">
        <v>113</v>
      </c>
      <c r="AZ258" s="4">
        <v>96</v>
      </c>
      <c r="BA258" s="4">
        <v>88</v>
      </c>
      <c r="BD258" s="4">
        <f t="shared" si="130"/>
        <v>0.77876106194690264</v>
      </c>
      <c r="BE258" s="4">
        <f t="shared" si="131"/>
        <v>0.5</v>
      </c>
    </row>
    <row r="259" spans="1:59" s="1" customFormat="1" ht="19.5" customHeight="1" x14ac:dyDescent="0.2">
      <c r="A259" s="1" t="s">
        <v>167</v>
      </c>
      <c r="B259" s="1" t="s">
        <v>119</v>
      </c>
      <c r="C259" s="1" t="s">
        <v>676</v>
      </c>
      <c r="D259" s="1" t="s">
        <v>210</v>
      </c>
      <c r="F259" s="13"/>
      <c r="G259" s="12">
        <f t="shared" si="115"/>
        <v>4.5500000000000007</v>
      </c>
      <c r="H259" s="1">
        <v>4.7</v>
      </c>
      <c r="L259" s="1">
        <v>4.4000000000000004</v>
      </c>
      <c r="Q259" s="1">
        <f>123/125</f>
        <v>0.98399999999999999</v>
      </c>
      <c r="R259" s="3">
        <v>0</v>
      </c>
      <c r="V259" s="1">
        <v>2</v>
      </c>
      <c r="W259" s="1" t="s">
        <v>515</v>
      </c>
      <c r="Y259" s="1" t="s">
        <v>15</v>
      </c>
      <c r="Z259" s="1">
        <v>2</v>
      </c>
      <c r="AA259" s="1" t="s">
        <v>513</v>
      </c>
      <c r="AB259" s="1">
        <v>1</v>
      </c>
      <c r="AC259" s="1" t="s">
        <v>528</v>
      </c>
      <c r="AD259" s="5" t="s">
        <v>512</v>
      </c>
      <c r="AE259" s="13" t="s">
        <v>820</v>
      </c>
      <c r="AF259" s="13"/>
      <c r="AG259" s="5"/>
      <c r="AI259" s="1">
        <v>4</v>
      </c>
      <c r="AJ259" s="1">
        <v>5</v>
      </c>
      <c r="AM259" s="2"/>
      <c r="AN259" s="3"/>
      <c r="AP259" s="15">
        <v>500</v>
      </c>
      <c r="AQ259" s="1">
        <v>0.5</v>
      </c>
      <c r="AR259" s="3">
        <v>0.2</v>
      </c>
      <c r="AS259" s="3">
        <v>0.2</v>
      </c>
      <c r="AT259" s="3"/>
      <c r="AU259" s="3"/>
      <c r="AV259" s="1">
        <v>146.69999999999999</v>
      </c>
      <c r="AW259" s="3">
        <f t="shared" ref="AW259:AW266" si="136">AR259*AV259</f>
        <v>29.34</v>
      </c>
      <c r="AX259" s="3">
        <f t="shared" ref="AX259:AX266" si="137">AS259*AV259</f>
        <v>29.34</v>
      </c>
      <c r="AY259" s="1">
        <v>137</v>
      </c>
      <c r="AZ259" s="1">
        <v>136</v>
      </c>
      <c r="BA259" s="1">
        <v>136</v>
      </c>
      <c r="BD259" s="1">
        <f t="shared" si="130"/>
        <v>0.99270072992700731</v>
      </c>
      <c r="BE259" s="1">
        <f t="shared" si="131"/>
        <v>0.02</v>
      </c>
      <c r="BG259" s="3"/>
    </row>
    <row r="260" spans="1:59" ht="17.25" customHeight="1" x14ac:dyDescent="0.2">
      <c r="A260" s="4" t="s">
        <v>167</v>
      </c>
      <c r="B260" s="4" t="s">
        <v>5</v>
      </c>
      <c r="C260" s="4" t="s">
        <v>677</v>
      </c>
      <c r="D260" s="4" t="s">
        <v>210</v>
      </c>
      <c r="F260" s="12"/>
      <c r="G260" s="12">
        <f t="shared" si="115"/>
        <v>2.5</v>
      </c>
      <c r="H260" s="4">
        <v>2.4500000000000002</v>
      </c>
      <c r="I260" s="4">
        <v>2.6</v>
      </c>
      <c r="L260" s="4">
        <v>2.4</v>
      </c>
      <c r="M260" s="4">
        <v>2.5499999999999998</v>
      </c>
      <c r="Q260" s="4">
        <f>129/131</f>
        <v>0.98473282442748089</v>
      </c>
      <c r="R260" s="7">
        <v>0</v>
      </c>
      <c r="V260" s="4">
        <v>2</v>
      </c>
      <c r="W260" s="4" t="s">
        <v>406</v>
      </c>
      <c r="Y260" s="4" t="s">
        <v>514</v>
      </c>
      <c r="Z260" s="4">
        <v>3</v>
      </c>
      <c r="AA260" s="4" t="s">
        <v>513</v>
      </c>
      <c r="AB260" s="4">
        <v>1</v>
      </c>
      <c r="AC260" s="4" t="s">
        <v>528</v>
      </c>
      <c r="AD260" s="6" t="s">
        <v>512</v>
      </c>
      <c r="AE260" s="12" t="s">
        <v>820</v>
      </c>
      <c r="AF260" s="12"/>
      <c r="AG260" s="6"/>
      <c r="AI260" s="4">
        <v>2.1</v>
      </c>
      <c r="AJ260" s="4">
        <v>2.85</v>
      </c>
      <c r="AM260" s="10"/>
      <c r="AP260" s="15">
        <v>500</v>
      </c>
      <c r="AQ260" s="4">
        <v>0.5</v>
      </c>
      <c r="AR260" s="7">
        <v>0.2</v>
      </c>
      <c r="AS260" s="7">
        <v>0.2</v>
      </c>
      <c r="AV260" s="4">
        <v>148.19999999999999</v>
      </c>
      <c r="AW260" s="7">
        <f t="shared" si="136"/>
        <v>29.64</v>
      </c>
      <c r="AX260" s="7">
        <f t="shared" si="137"/>
        <v>29.64</v>
      </c>
      <c r="AY260" s="4">
        <v>120</v>
      </c>
      <c r="AZ260" s="4">
        <v>111</v>
      </c>
      <c r="BA260" s="4">
        <v>105</v>
      </c>
      <c r="BB260" s="4">
        <v>95</v>
      </c>
      <c r="BD260" s="4">
        <f t="shared" si="130"/>
        <v>0.875</v>
      </c>
      <c r="BE260" s="4">
        <f t="shared" si="131"/>
        <v>0.3</v>
      </c>
      <c r="BG260" s="7">
        <f>AY260/144</f>
        <v>0.83333333333333337</v>
      </c>
    </row>
    <row r="261" spans="1:59" s="1" customFormat="1" ht="19.5" customHeight="1" x14ac:dyDescent="0.2">
      <c r="A261" s="1" t="s">
        <v>167</v>
      </c>
      <c r="B261" s="1" t="s">
        <v>119</v>
      </c>
      <c r="C261" s="1" t="s">
        <v>678</v>
      </c>
      <c r="D261" s="1" t="s">
        <v>210</v>
      </c>
      <c r="F261" s="13"/>
      <c r="G261" s="12">
        <f t="shared" si="115"/>
        <v>3.125</v>
      </c>
      <c r="H261" s="1">
        <v>3.25</v>
      </c>
      <c r="L261" s="1">
        <v>3</v>
      </c>
      <c r="P261" s="1" t="s">
        <v>621</v>
      </c>
      <c r="Q261" s="1">
        <f>121/126</f>
        <v>0.96031746031746035</v>
      </c>
      <c r="R261" s="3">
        <v>0</v>
      </c>
      <c r="V261" s="1">
        <v>2</v>
      </c>
      <c r="W261" s="1" t="s">
        <v>515</v>
      </c>
      <c r="Y261" s="1" t="s">
        <v>514</v>
      </c>
      <c r="Z261" s="1">
        <v>3</v>
      </c>
      <c r="AA261" s="1" t="s">
        <v>513</v>
      </c>
      <c r="AB261" s="1">
        <v>1</v>
      </c>
      <c r="AC261" s="1" t="s">
        <v>528</v>
      </c>
      <c r="AD261" s="5" t="s">
        <v>512</v>
      </c>
      <c r="AE261" s="13" t="s">
        <v>820</v>
      </c>
      <c r="AF261" s="13"/>
      <c r="AG261" s="5"/>
      <c r="AI261" s="1">
        <v>2</v>
      </c>
      <c r="AJ261" s="1">
        <v>3.4</v>
      </c>
      <c r="AM261" s="2"/>
      <c r="AN261" s="3"/>
      <c r="AP261" s="15">
        <v>500</v>
      </c>
      <c r="AQ261" s="1">
        <v>0.5</v>
      </c>
      <c r="AR261" s="3">
        <v>0.2</v>
      </c>
      <c r="AS261" s="3">
        <v>0.2</v>
      </c>
      <c r="AT261" s="3"/>
      <c r="AU261" s="3"/>
      <c r="AV261" s="1">
        <v>146.69999999999999</v>
      </c>
      <c r="AW261" s="3">
        <f t="shared" si="136"/>
        <v>29.34</v>
      </c>
      <c r="AX261" s="3">
        <f t="shared" si="137"/>
        <v>29.34</v>
      </c>
      <c r="AY261" s="1">
        <v>124</v>
      </c>
      <c r="AZ261" s="1">
        <v>125</v>
      </c>
      <c r="BA261" s="1">
        <v>118</v>
      </c>
      <c r="BB261" s="1">
        <v>110</v>
      </c>
      <c r="BD261" s="1">
        <f t="shared" si="130"/>
        <v>0.95161290322580649</v>
      </c>
      <c r="BE261" s="1">
        <f t="shared" si="131"/>
        <v>0.12</v>
      </c>
      <c r="BG261" s="3">
        <f>AY261/145</f>
        <v>0.85517241379310349</v>
      </c>
    </row>
    <row r="262" spans="1:59" ht="17.25" customHeight="1" x14ac:dyDescent="0.2">
      <c r="A262" s="4" t="s">
        <v>167</v>
      </c>
      <c r="B262" s="4" t="s">
        <v>516</v>
      </c>
      <c r="C262" s="4" t="s">
        <v>362</v>
      </c>
      <c r="D262" s="4" t="s">
        <v>210</v>
      </c>
      <c r="F262" s="12">
        <v>3.7</v>
      </c>
      <c r="G262" s="12">
        <f t="shared" si="115"/>
        <v>3.8159999999999998</v>
      </c>
      <c r="H262" s="4">
        <v>3.48</v>
      </c>
      <c r="I262" s="4">
        <v>3.96</v>
      </c>
      <c r="J262" s="4">
        <v>4.42</v>
      </c>
      <c r="L262" s="4">
        <v>3.41</v>
      </c>
      <c r="M262" s="4">
        <v>3.81</v>
      </c>
      <c r="V262" s="4">
        <v>4</v>
      </c>
      <c r="Y262" s="4" t="s">
        <v>82</v>
      </c>
      <c r="Z262" s="4">
        <v>1</v>
      </c>
      <c r="AA262" s="4" t="s">
        <v>519</v>
      </c>
      <c r="AB262" s="4">
        <v>1</v>
      </c>
      <c r="AC262" s="4" t="s">
        <v>518</v>
      </c>
      <c r="AD262" s="6" t="s">
        <v>517</v>
      </c>
      <c r="AE262" s="12" t="s">
        <v>815</v>
      </c>
      <c r="AF262" s="12">
        <v>3.7</v>
      </c>
      <c r="AG262" s="6"/>
      <c r="AI262" s="4">
        <v>2.5</v>
      </c>
      <c r="AJ262" s="4">
        <v>4.5999999999999996</v>
      </c>
      <c r="AM262" s="10" t="s">
        <v>520</v>
      </c>
      <c r="AR262" s="7">
        <v>0.1</v>
      </c>
      <c r="AS262" s="7">
        <v>0.1</v>
      </c>
      <c r="AV262" s="4">
        <v>197</v>
      </c>
      <c r="AW262" s="7">
        <f t="shared" si="136"/>
        <v>19.700000000000003</v>
      </c>
      <c r="AX262" s="7">
        <f t="shared" si="137"/>
        <v>19.700000000000003</v>
      </c>
      <c r="AY262" s="4">
        <v>169</v>
      </c>
      <c r="AZ262" s="4">
        <v>164</v>
      </c>
      <c r="BA262" s="4">
        <v>161</v>
      </c>
      <c r="BC262" s="4" t="s">
        <v>524</v>
      </c>
      <c r="BD262" s="4">
        <f t="shared" si="130"/>
        <v>0.9526627218934911</v>
      </c>
      <c r="BE262" s="4">
        <f t="shared" si="131"/>
        <v>0.16</v>
      </c>
      <c r="BG262" s="7">
        <f>167/184</f>
        <v>0.90760869565217395</v>
      </c>
    </row>
    <row r="263" spans="1:59" s="1" customFormat="1" ht="19.5" customHeight="1" x14ac:dyDescent="0.2">
      <c r="A263" s="1" t="s">
        <v>167</v>
      </c>
      <c r="B263" s="1" t="s">
        <v>521</v>
      </c>
      <c r="C263" s="1" t="s">
        <v>362</v>
      </c>
      <c r="D263" s="1" t="s">
        <v>210</v>
      </c>
      <c r="F263" s="13"/>
      <c r="G263" s="12" t="e">
        <f t="shared" ref="G263:G326" si="138">AVERAGE(H263:O263)</f>
        <v>#DIV/0!</v>
      </c>
      <c r="R263" s="3"/>
      <c r="V263" s="1">
        <v>4</v>
      </c>
      <c r="Y263" s="1" t="s">
        <v>82</v>
      </c>
      <c r="Z263" s="1">
        <v>1</v>
      </c>
      <c r="AA263" s="1" t="s">
        <v>519</v>
      </c>
      <c r="AB263" s="1">
        <v>1</v>
      </c>
      <c r="AC263" s="1" t="s">
        <v>518</v>
      </c>
      <c r="AD263" s="5" t="s">
        <v>517</v>
      </c>
      <c r="AE263" s="13" t="s">
        <v>815</v>
      </c>
      <c r="AF263" s="13"/>
      <c r="AG263" s="5"/>
      <c r="AI263" s="1">
        <v>2.5</v>
      </c>
      <c r="AJ263" s="1">
        <v>4.5999999999999996</v>
      </c>
      <c r="AM263" s="2" t="s">
        <v>520</v>
      </c>
      <c r="AN263" s="3"/>
      <c r="AP263" s="15"/>
      <c r="AR263" s="3">
        <v>0.1</v>
      </c>
      <c r="AS263" s="3">
        <v>0.1</v>
      </c>
      <c r="AT263" s="3"/>
      <c r="AU263" s="3"/>
      <c r="AV263" s="1">
        <v>198</v>
      </c>
      <c r="AW263" s="3">
        <f t="shared" si="136"/>
        <v>19.8</v>
      </c>
      <c r="AX263" s="3">
        <f t="shared" si="137"/>
        <v>19.8</v>
      </c>
      <c r="AY263" s="1">
        <v>166</v>
      </c>
      <c r="AZ263" s="1">
        <v>160</v>
      </c>
      <c r="BA263" s="1">
        <v>158</v>
      </c>
      <c r="BD263" s="1">
        <f t="shared" si="130"/>
        <v>0.95180722891566261</v>
      </c>
      <c r="BE263" s="1">
        <f t="shared" si="131"/>
        <v>0.16</v>
      </c>
      <c r="BG263" s="3"/>
    </row>
    <row r="264" spans="1:59" ht="17.25" customHeight="1" x14ac:dyDescent="0.2">
      <c r="A264" s="4" t="s">
        <v>167</v>
      </c>
      <c r="B264" s="4" t="s">
        <v>522</v>
      </c>
      <c r="C264" s="4" t="s">
        <v>362</v>
      </c>
      <c r="D264" s="4" t="s">
        <v>210</v>
      </c>
      <c r="F264" s="12">
        <v>3.7</v>
      </c>
      <c r="G264" s="12" t="e">
        <f t="shared" si="138"/>
        <v>#DIV/0!</v>
      </c>
      <c r="V264" s="4">
        <v>4</v>
      </c>
      <c r="Y264" s="4" t="s">
        <v>82</v>
      </c>
      <c r="Z264" s="4">
        <v>1</v>
      </c>
      <c r="AA264" s="4" t="s">
        <v>519</v>
      </c>
      <c r="AB264" s="4">
        <v>1</v>
      </c>
      <c r="AC264" s="4" t="s">
        <v>518</v>
      </c>
      <c r="AD264" s="6" t="s">
        <v>517</v>
      </c>
      <c r="AE264" s="12" t="s">
        <v>815</v>
      </c>
      <c r="AF264" s="12">
        <v>3.7</v>
      </c>
      <c r="AG264" s="6"/>
      <c r="AI264" s="4">
        <v>2.5</v>
      </c>
      <c r="AJ264" s="4">
        <v>4.5999999999999996</v>
      </c>
      <c r="AM264" s="10" t="s">
        <v>520</v>
      </c>
      <c r="AR264" s="7">
        <v>0.1</v>
      </c>
      <c r="AS264" s="7">
        <v>0.1</v>
      </c>
      <c r="AV264" s="4">
        <v>200</v>
      </c>
      <c r="AW264" s="7">
        <f t="shared" si="136"/>
        <v>20</v>
      </c>
      <c r="AX264" s="7">
        <f t="shared" si="137"/>
        <v>20</v>
      </c>
      <c r="AY264" s="4">
        <v>159</v>
      </c>
      <c r="AZ264" s="4">
        <v>151</v>
      </c>
      <c r="BA264" s="4">
        <v>150</v>
      </c>
      <c r="BC264" s="4" t="s">
        <v>525</v>
      </c>
      <c r="BD264" s="4">
        <f t="shared" si="130"/>
        <v>0.94339622641509435</v>
      </c>
      <c r="BE264" s="4">
        <f t="shared" si="131"/>
        <v>0.18</v>
      </c>
      <c r="BG264" s="7">
        <f>166/178</f>
        <v>0.93258426966292129</v>
      </c>
    </row>
    <row r="265" spans="1:59" s="1" customFormat="1" ht="19.5" customHeight="1" x14ac:dyDescent="0.2">
      <c r="A265" s="1" t="s">
        <v>167</v>
      </c>
      <c r="B265" s="1" t="s">
        <v>523</v>
      </c>
      <c r="C265" s="1" t="s">
        <v>362</v>
      </c>
      <c r="D265" s="1" t="s">
        <v>210</v>
      </c>
      <c r="F265" s="13"/>
      <c r="G265" s="12" t="e">
        <f t="shared" si="138"/>
        <v>#DIV/0!</v>
      </c>
      <c r="R265" s="3"/>
      <c r="V265" s="1">
        <v>4</v>
      </c>
      <c r="Y265" s="1" t="s">
        <v>82</v>
      </c>
      <c r="Z265" s="1">
        <v>1</v>
      </c>
      <c r="AA265" s="1" t="s">
        <v>519</v>
      </c>
      <c r="AB265" s="1">
        <v>1</v>
      </c>
      <c r="AC265" s="1" t="s">
        <v>518</v>
      </c>
      <c r="AD265" s="5" t="s">
        <v>517</v>
      </c>
      <c r="AE265" s="13" t="s">
        <v>815</v>
      </c>
      <c r="AF265" s="13"/>
      <c r="AG265" s="5"/>
      <c r="AI265" s="1">
        <v>2.5</v>
      </c>
      <c r="AJ265" s="1">
        <v>4.5999999999999996</v>
      </c>
      <c r="AM265" s="2" t="s">
        <v>520</v>
      </c>
      <c r="AN265" s="3"/>
      <c r="AP265" s="15"/>
      <c r="AR265" s="3">
        <v>0.1</v>
      </c>
      <c r="AS265" s="3">
        <v>0.1</v>
      </c>
      <c r="AT265" s="3"/>
      <c r="AU265" s="3"/>
      <c r="AV265" s="1">
        <v>203</v>
      </c>
      <c r="AW265" s="3">
        <f t="shared" si="136"/>
        <v>20.3</v>
      </c>
      <c r="AX265" s="3">
        <f t="shared" si="137"/>
        <v>20.3</v>
      </c>
      <c r="AY265" s="1">
        <v>141</v>
      </c>
      <c r="AZ265" s="1">
        <v>140</v>
      </c>
      <c r="BA265" s="1">
        <v>140</v>
      </c>
      <c r="BC265" s="1" t="s">
        <v>525</v>
      </c>
      <c r="BD265" s="1">
        <f t="shared" si="130"/>
        <v>0.99290780141843971</v>
      </c>
      <c r="BE265" s="1">
        <f t="shared" si="131"/>
        <v>0.02</v>
      </c>
      <c r="BG265" s="3"/>
    </row>
    <row r="266" spans="1:59" ht="17.25" customHeight="1" x14ac:dyDescent="0.2">
      <c r="A266" s="4" t="s">
        <v>167</v>
      </c>
      <c r="B266" s="4" t="s">
        <v>88</v>
      </c>
      <c r="C266" s="4" t="s">
        <v>577</v>
      </c>
      <c r="D266" s="4" t="s">
        <v>210</v>
      </c>
      <c r="F266" s="12"/>
      <c r="G266" s="12">
        <f t="shared" si="138"/>
        <v>4.1999999999999993</v>
      </c>
      <c r="H266" s="4">
        <v>4.3</v>
      </c>
      <c r="L266" s="4">
        <v>4.0999999999999996</v>
      </c>
      <c r="V266" s="4">
        <v>4</v>
      </c>
      <c r="W266" s="4" t="s">
        <v>361</v>
      </c>
      <c r="Y266" s="4" t="s">
        <v>15</v>
      </c>
      <c r="AA266" s="4" t="s">
        <v>627</v>
      </c>
      <c r="AC266" s="4" t="s">
        <v>527</v>
      </c>
      <c r="AD266" s="6" t="s">
        <v>628</v>
      </c>
      <c r="AE266" s="12" t="s">
        <v>832</v>
      </c>
      <c r="AF266" s="12"/>
      <c r="AG266" s="6"/>
      <c r="AI266" s="4">
        <v>3.8</v>
      </c>
      <c r="AJ266" s="4">
        <v>4.5</v>
      </c>
      <c r="AL266" s="4" t="s">
        <v>31</v>
      </c>
      <c r="AM266" s="10"/>
      <c r="AR266" s="7">
        <v>0.2</v>
      </c>
      <c r="AS266" s="7">
        <v>0.2</v>
      </c>
      <c r="AT266" s="7">
        <f>7+51+64+31+19</f>
        <v>172</v>
      </c>
      <c r="AU266" s="7">
        <f>96485.3/3600/AT266</f>
        <v>0.15582251291989666</v>
      </c>
      <c r="AV266" s="4">
        <v>156</v>
      </c>
      <c r="AW266" s="7">
        <f t="shared" si="136"/>
        <v>31.200000000000003</v>
      </c>
      <c r="AX266" s="7">
        <f t="shared" si="137"/>
        <v>31.200000000000003</v>
      </c>
      <c r="AY266" s="4">
        <v>125</v>
      </c>
      <c r="AZ266" s="4">
        <v>123</v>
      </c>
      <c r="BA266" s="4">
        <v>121</v>
      </c>
      <c r="BB266" s="4">
        <v>117</v>
      </c>
      <c r="BD266" s="4">
        <f t="shared" si="130"/>
        <v>0.96799999999999997</v>
      </c>
      <c r="BE266" s="4">
        <f t="shared" si="131"/>
        <v>0.08</v>
      </c>
      <c r="BG266" s="7">
        <f>AY266/128</f>
        <v>0.9765625</v>
      </c>
    </row>
    <row r="267" spans="1:59" s="1" customFormat="1" ht="19.5" customHeight="1" x14ac:dyDescent="0.2">
      <c r="A267" s="1" t="s">
        <v>167</v>
      </c>
      <c r="B267" s="1" t="s">
        <v>88</v>
      </c>
      <c r="C267" s="1" t="s">
        <v>630</v>
      </c>
      <c r="D267" s="1" t="s">
        <v>210</v>
      </c>
      <c r="F267" s="13">
        <v>4.2</v>
      </c>
      <c r="G267" s="12">
        <f t="shared" si="138"/>
        <v>4.2175000000000002</v>
      </c>
      <c r="H267" s="1">
        <v>4.08</v>
      </c>
      <c r="I267" s="1">
        <v>4.25</v>
      </c>
      <c r="J267" s="1">
        <v>4.41</v>
      </c>
      <c r="L267" s="1">
        <v>4.13</v>
      </c>
      <c r="R267" s="3"/>
      <c r="V267" s="1">
        <v>4</v>
      </c>
      <c r="Y267" s="1" t="s">
        <v>15</v>
      </c>
      <c r="AA267" s="1" t="s">
        <v>494</v>
      </c>
      <c r="AC267" s="1" t="s">
        <v>526</v>
      </c>
      <c r="AD267" s="5" t="s">
        <v>629</v>
      </c>
      <c r="AE267" s="13" t="s">
        <v>832</v>
      </c>
      <c r="AF267" s="13">
        <v>4.2</v>
      </c>
      <c r="AG267" s="5"/>
      <c r="AI267" s="1">
        <v>3</v>
      </c>
      <c r="AJ267" s="1">
        <v>4.5</v>
      </c>
      <c r="AL267" s="1" t="s">
        <v>631</v>
      </c>
      <c r="AM267" s="2" t="s">
        <v>155</v>
      </c>
      <c r="AN267" s="3"/>
      <c r="AP267" s="15">
        <v>1000</v>
      </c>
      <c r="AQ267" s="1">
        <v>1</v>
      </c>
      <c r="AR267" s="3">
        <v>0.12</v>
      </c>
      <c r="AS267" s="3">
        <v>0.12</v>
      </c>
      <c r="AT267" s="3"/>
      <c r="AU267" s="3"/>
      <c r="AV267" s="1">
        <v>130</v>
      </c>
      <c r="AW267" s="3">
        <v>15</v>
      </c>
      <c r="AX267" s="3">
        <v>15</v>
      </c>
      <c r="AY267" s="1">
        <v>123</v>
      </c>
      <c r="AZ267" s="1">
        <v>129</v>
      </c>
      <c r="BA267" s="1">
        <v>129</v>
      </c>
      <c r="BB267" s="1">
        <v>130</v>
      </c>
      <c r="BD267" s="1">
        <f t="shared" si="130"/>
        <v>1.0487804878048781</v>
      </c>
      <c r="BE267" s="1">
        <f t="shared" si="131"/>
        <v>-0.12</v>
      </c>
      <c r="BG267" s="3">
        <f>AY267/130</f>
        <v>0.94615384615384612</v>
      </c>
    </row>
    <row r="268" spans="1:59" ht="17.25" customHeight="1" x14ac:dyDescent="0.2">
      <c r="A268" s="4" t="s">
        <v>167</v>
      </c>
      <c r="B268" s="4" t="s">
        <v>88</v>
      </c>
      <c r="C268" s="4" t="s">
        <v>630</v>
      </c>
      <c r="D268" s="4" t="s">
        <v>210</v>
      </c>
      <c r="F268" s="12">
        <v>4.2</v>
      </c>
      <c r="G268" s="12">
        <f t="shared" si="138"/>
        <v>4.2175000000000002</v>
      </c>
      <c r="H268" s="4">
        <v>4.08</v>
      </c>
      <c r="I268" s="4">
        <v>4.25</v>
      </c>
      <c r="J268" s="4">
        <v>4.41</v>
      </c>
      <c r="L268" s="4">
        <v>4.13</v>
      </c>
      <c r="V268" s="4">
        <v>4</v>
      </c>
      <c r="Y268" s="4" t="s">
        <v>15</v>
      </c>
      <c r="AA268" s="4" t="s">
        <v>494</v>
      </c>
      <c r="AC268" s="4" t="s">
        <v>526</v>
      </c>
      <c r="AD268" s="6" t="s">
        <v>629</v>
      </c>
      <c r="AE268" s="12" t="s">
        <v>832</v>
      </c>
      <c r="AF268" s="12">
        <v>4.2</v>
      </c>
      <c r="AG268" s="6"/>
      <c r="AI268" s="4">
        <v>3</v>
      </c>
      <c r="AJ268" s="4">
        <v>4.5</v>
      </c>
      <c r="AL268" s="4" t="s">
        <v>631</v>
      </c>
      <c r="AM268" s="10" t="s">
        <v>155</v>
      </c>
      <c r="AP268" s="15">
        <v>1000</v>
      </c>
      <c r="AQ268" s="4">
        <v>1</v>
      </c>
      <c r="AR268" s="7">
        <v>0.92</v>
      </c>
      <c r="AS268" s="7">
        <v>0.92</v>
      </c>
      <c r="AV268" s="4">
        <v>130</v>
      </c>
      <c r="AW268" s="7">
        <v>120</v>
      </c>
      <c r="AX268" s="7">
        <v>120</v>
      </c>
      <c r="AY268" s="4">
        <v>105</v>
      </c>
      <c r="AZ268" s="4">
        <v>114</v>
      </c>
      <c r="BA268" s="4">
        <v>116</v>
      </c>
      <c r="BB268" s="4">
        <v>117</v>
      </c>
      <c r="BD268" s="4">
        <f t="shared" ref="BD268:BD270" si="139">BA268/AY268</f>
        <v>1.1047619047619048</v>
      </c>
      <c r="BE268" s="4">
        <f t="shared" ref="BE268:BE270" si="140">(AY268-BA268)/50</f>
        <v>-0.22</v>
      </c>
      <c r="BG268" s="7">
        <f>AY268/109</f>
        <v>0.96330275229357798</v>
      </c>
    </row>
    <row r="269" spans="1:59" s="1" customFormat="1" ht="19.5" customHeight="1" x14ac:dyDescent="0.2">
      <c r="A269" s="1">
        <v>25</v>
      </c>
      <c r="B269" s="1" t="s">
        <v>639</v>
      </c>
      <c r="C269" s="1" t="s">
        <v>638</v>
      </c>
      <c r="D269" s="1" t="s">
        <v>210</v>
      </c>
      <c r="F269" s="13"/>
      <c r="G269" s="12" t="e">
        <f t="shared" si="138"/>
        <v>#DIV/0!</v>
      </c>
      <c r="R269" s="3"/>
      <c r="T269" s="1" t="s">
        <v>647</v>
      </c>
      <c r="V269" s="1">
        <v>2</v>
      </c>
      <c r="W269" s="1" t="s">
        <v>636</v>
      </c>
      <c r="Y269" s="1" t="s">
        <v>15</v>
      </c>
      <c r="AA269" s="1" t="s">
        <v>471</v>
      </c>
      <c r="AC269" s="1" t="s">
        <v>632</v>
      </c>
      <c r="AD269" s="5" t="s">
        <v>635</v>
      </c>
      <c r="AE269" s="13" t="s">
        <v>820</v>
      </c>
      <c r="AF269" s="13"/>
      <c r="AG269" s="5"/>
      <c r="AI269" s="1">
        <v>3.4</v>
      </c>
      <c r="AJ269" s="1">
        <v>4.2</v>
      </c>
      <c r="AL269" s="1" t="s">
        <v>637</v>
      </c>
      <c r="AM269" s="2"/>
      <c r="AN269" s="3"/>
      <c r="AP269" s="15">
        <v>60</v>
      </c>
      <c r="AQ269" s="1">
        <v>0.06</v>
      </c>
      <c r="AR269" s="3">
        <v>0.5</v>
      </c>
      <c r="AS269" s="3">
        <v>1</v>
      </c>
      <c r="AT269" s="3"/>
      <c r="AU269" s="3"/>
      <c r="AV269" s="1">
        <v>141.19999999999999</v>
      </c>
      <c r="AW269" s="3">
        <f>AR269*AV269</f>
        <v>70.599999999999994</v>
      </c>
      <c r="AX269" s="3">
        <f>AS269*AV269</f>
        <v>141.19999999999999</v>
      </c>
      <c r="AY269" s="1">
        <v>121</v>
      </c>
      <c r="AZ269" s="1">
        <v>118</v>
      </c>
      <c r="BA269" s="1">
        <v>117</v>
      </c>
      <c r="BB269" s="1">
        <v>115</v>
      </c>
      <c r="BD269" s="1">
        <f t="shared" si="139"/>
        <v>0.96694214876033058</v>
      </c>
      <c r="BE269" s="1">
        <f t="shared" si="140"/>
        <v>0.08</v>
      </c>
      <c r="BG269" s="3"/>
    </row>
    <row r="270" spans="1:59" ht="17.25" customHeight="1" x14ac:dyDescent="0.2">
      <c r="A270" s="4">
        <v>25</v>
      </c>
      <c r="B270" s="4" t="s">
        <v>640</v>
      </c>
      <c r="C270" s="4" t="s">
        <v>638</v>
      </c>
      <c r="D270" s="4" t="s">
        <v>210</v>
      </c>
      <c r="F270" s="12"/>
      <c r="G270" s="12" t="e">
        <f t="shared" si="138"/>
        <v>#DIV/0!</v>
      </c>
      <c r="T270" s="4" t="s">
        <v>647</v>
      </c>
      <c r="V270" s="4">
        <v>2</v>
      </c>
      <c r="W270" s="4" t="s">
        <v>636</v>
      </c>
      <c r="Y270" s="4" t="s">
        <v>15</v>
      </c>
      <c r="AA270" s="4" t="s">
        <v>471</v>
      </c>
      <c r="AC270" s="4" t="s">
        <v>632</v>
      </c>
      <c r="AD270" s="6" t="s">
        <v>635</v>
      </c>
      <c r="AE270" s="12" t="s">
        <v>820</v>
      </c>
      <c r="AF270" s="12"/>
      <c r="AG270" s="6"/>
      <c r="AI270" s="4">
        <v>3.4</v>
      </c>
      <c r="AJ270" s="4">
        <v>4.2</v>
      </c>
      <c r="AL270" s="4" t="s">
        <v>637</v>
      </c>
      <c r="AM270" s="10"/>
      <c r="AP270" s="15">
        <v>60</v>
      </c>
      <c r="AQ270" s="4">
        <v>0.06</v>
      </c>
      <c r="AR270" s="7">
        <v>0.5</v>
      </c>
      <c r="AS270" s="7">
        <v>1</v>
      </c>
      <c r="AV270" s="4">
        <v>120.5</v>
      </c>
      <c r="AW270" s="7">
        <f t="shared" ref="AW270:AW277" si="141">AR270*AV270</f>
        <v>60.25</v>
      </c>
      <c r="AX270" s="7">
        <f t="shared" ref="AX270:AX277" si="142">AS270*AV270</f>
        <v>120.5</v>
      </c>
      <c r="AY270" s="4">
        <v>105</v>
      </c>
      <c r="AZ270" s="4">
        <v>104</v>
      </c>
      <c r="BA270" s="4">
        <v>103</v>
      </c>
      <c r="BB270" s="4">
        <v>101</v>
      </c>
      <c r="BD270" s="4">
        <f t="shared" si="139"/>
        <v>0.98095238095238091</v>
      </c>
      <c r="BE270" s="4">
        <f t="shared" si="140"/>
        <v>0.04</v>
      </c>
    </row>
    <row r="271" spans="1:59" s="1" customFormat="1" ht="19.5" customHeight="1" x14ac:dyDescent="0.2">
      <c r="A271" s="1">
        <v>25</v>
      </c>
      <c r="B271" s="1" t="s">
        <v>641</v>
      </c>
      <c r="C271" s="1" t="s">
        <v>638</v>
      </c>
      <c r="D271" s="1" t="s">
        <v>210</v>
      </c>
      <c r="F271" s="13"/>
      <c r="G271" s="12" t="e">
        <f t="shared" si="138"/>
        <v>#DIV/0!</v>
      </c>
      <c r="R271" s="3"/>
      <c r="T271" s="1" t="s">
        <v>647</v>
      </c>
      <c r="V271" s="1">
        <v>2</v>
      </c>
      <c r="W271" s="1" t="s">
        <v>636</v>
      </c>
      <c r="Y271" s="1" t="s">
        <v>15</v>
      </c>
      <c r="AA271" s="1" t="s">
        <v>471</v>
      </c>
      <c r="AC271" s="1" t="s">
        <v>632</v>
      </c>
      <c r="AD271" s="5" t="s">
        <v>635</v>
      </c>
      <c r="AE271" s="13" t="s">
        <v>820</v>
      </c>
      <c r="AF271" s="13"/>
      <c r="AG271" s="5"/>
      <c r="AI271" s="1">
        <v>3.4</v>
      </c>
      <c r="AJ271" s="1">
        <v>4.2</v>
      </c>
      <c r="AL271" s="1" t="s">
        <v>637</v>
      </c>
      <c r="AM271" s="2"/>
      <c r="AN271" s="3"/>
      <c r="AP271" s="15">
        <v>60</v>
      </c>
      <c r="AQ271" s="1">
        <v>0.06</v>
      </c>
      <c r="AR271" s="3">
        <v>0.5</v>
      </c>
      <c r="AS271" s="3">
        <v>1</v>
      </c>
      <c r="AT271" s="3"/>
      <c r="AU271" s="3"/>
      <c r="AV271" s="1">
        <v>142.9</v>
      </c>
      <c r="AW271" s="3">
        <f t="shared" si="141"/>
        <v>71.45</v>
      </c>
      <c r="AX271" s="3">
        <f t="shared" si="142"/>
        <v>142.9</v>
      </c>
      <c r="AY271" s="1">
        <v>121</v>
      </c>
      <c r="AZ271" s="1">
        <v>118</v>
      </c>
      <c r="BA271" s="1">
        <v>117</v>
      </c>
      <c r="BB271" s="1">
        <v>115</v>
      </c>
      <c r="BD271" s="1">
        <f t="shared" ref="BD271:BD279" si="143">BA271/AY271</f>
        <v>0.96694214876033058</v>
      </c>
      <c r="BE271" s="1">
        <f t="shared" ref="BE271:BE279" si="144">(AY271-BA271)/50</f>
        <v>0.08</v>
      </c>
      <c r="BG271" s="3"/>
    </row>
    <row r="272" spans="1:59" ht="17.25" customHeight="1" x14ac:dyDescent="0.2">
      <c r="A272" s="4">
        <v>25</v>
      </c>
      <c r="B272" s="4" t="s">
        <v>642</v>
      </c>
      <c r="C272" s="4" t="s">
        <v>638</v>
      </c>
      <c r="D272" s="4" t="s">
        <v>210</v>
      </c>
      <c r="F272" s="12"/>
      <c r="G272" s="12" t="e">
        <f t="shared" si="138"/>
        <v>#DIV/0!</v>
      </c>
      <c r="P272" s="4" t="s">
        <v>649</v>
      </c>
      <c r="Q272" s="4">
        <v>0.99</v>
      </c>
      <c r="T272" s="4" t="s">
        <v>647</v>
      </c>
      <c r="V272" s="4">
        <v>2</v>
      </c>
      <c r="W272" s="4" t="s">
        <v>636</v>
      </c>
      <c r="Y272" s="4" t="s">
        <v>15</v>
      </c>
      <c r="AA272" s="4" t="s">
        <v>471</v>
      </c>
      <c r="AC272" s="4" t="s">
        <v>632</v>
      </c>
      <c r="AD272" s="6" t="s">
        <v>635</v>
      </c>
      <c r="AE272" s="12" t="s">
        <v>820</v>
      </c>
      <c r="AF272" s="12"/>
      <c r="AG272" s="6"/>
      <c r="AI272" s="4">
        <v>3.4</v>
      </c>
      <c r="AJ272" s="4">
        <v>4.2</v>
      </c>
      <c r="AL272" s="4" t="s">
        <v>637</v>
      </c>
      <c r="AM272" s="10"/>
      <c r="AP272" s="15">
        <v>60</v>
      </c>
      <c r="AQ272" s="4">
        <v>0.06</v>
      </c>
      <c r="AR272" s="7">
        <v>0.5</v>
      </c>
      <c r="AS272" s="7">
        <v>1</v>
      </c>
      <c r="AV272" s="4">
        <v>122.2</v>
      </c>
      <c r="AW272" s="7">
        <f t="shared" si="141"/>
        <v>61.1</v>
      </c>
      <c r="AX272" s="7">
        <f t="shared" si="142"/>
        <v>122.2</v>
      </c>
      <c r="AY272" s="4">
        <v>104</v>
      </c>
      <c r="AZ272" s="4">
        <v>102</v>
      </c>
      <c r="BA272" s="4">
        <v>101</v>
      </c>
      <c r="BB272" s="4">
        <v>100</v>
      </c>
      <c r="BD272" s="4">
        <f t="shared" si="143"/>
        <v>0.97115384615384615</v>
      </c>
      <c r="BE272" s="4">
        <f t="shared" si="144"/>
        <v>0.06</v>
      </c>
    </row>
    <row r="273" spans="1:59" s="1" customFormat="1" ht="19.5" customHeight="1" x14ac:dyDescent="0.2">
      <c r="A273" s="1">
        <v>25</v>
      </c>
      <c r="B273" s="1" t="s">
        <v>643</v>
      </c>
      <c r="C273" s="1" t="s">
        <v>638</v>
      </c>
      <c r="D273" s="1" t="s">
        <v>210</v>
      </c>
      <c r="F273" s="13"/>
      <c r="G273" s="12">
        <f t="shared" si="138"/>
        <v>4.0575000000000001</v>
      </c>
      <c r="H273" s="1">
        <v>4.05</v>
      </c>
      <c r="I273" s="1">
        <v>4.16</v>
      </c>
      <c r="L273" s="1">
        <v>3.95</v>
      </c>
      <c r="M273" s="1">
        <v>4.07</v>
      </c>
      <c r="R273" s="3"/>
      <c r="T273" s="1" t="s">
        <v>647</v>
      </c>
      <c r="V273" s="1">
        <v>2</v>
      </c>
      <c r="W273" s="1" t="s">
        <v>636</v>
      </c>
      <c r="Y273" s="1" t="s">
        <v>15</v>
      </c>
      <c r="AA273" s="1" t="s">
        <v>471</v>
      </c>
      <c r="AC273" s="1" t="s">
        <v>632</v>
      </c>
      <c r="AD273" s="5" t="s">
        <v>635</v>
      </c>
      <c r="AE273" s="13" t="s">
        <v>820</v>
      </c>
      <c r="AF273" s="13"/>
      <c r="AG273" s="5"/>
      <c r="AI273" s="1">
        <v>3.4</v>
      </c>
      <c r="AJ273" s="1">
        <v>4.2</v>
      </c>
      <c r="AL273" s="1" t="s">
        <v>637</v>
      </c>
      <c r="AM273" s="2"/>
      <c r="AN273" s="3"/>
      <c r="AP273" s="15">
        <v>40</v>
      </c>
      <c r="AQ273" s="1">
        <v>0.04</v>
      </c>
      <c r="AR273" s="3">
        <v>0.5</v>
      </c>
      <c r="AS273" s="3">
        <v>1</v>
      </c>
      <c r="AT273" s="3"/>
      <c r="AU273" s="3"/>
      <c r="AV273" s="1">
        <v>142.69999999999999</v>
      </c>
      <c r="AW273" s="3">
        <f t="shared" si="141"/>
        <v>71.349999999999994</v>
      </c>
      <c r="AX273" s="3">
        <f t="shared" si="142"/>
        <v>142.69999999999999</v>
      </c>
      <c r="AY273" s="1">
        <v>120</v>
      </c>
      <c r="AZ273" s="1">
        <v>116</v>
      </c>
      <c r="BA273" s="1">
        <v>114</v>
      </c>
      <c r="BB273" s="1">
        <v>111</v>
      </c>
      <c r="BD273" s="1">
        <f t="shared" si="143"/>
        <v>0.95</v>
      </c>
      <c r="BE273" s="1">
        <f t="shared" si="144"/>
        <v>0.12</v>
      </c>
      <c r="BG273" s="3"/>
    </row>
    <row r="274" spans="1:59" ht="17.25" customHeight="1" x14ac:dyDescent="0.2">
      <c r="A274" s="4">
        <v>25</v>
      </c>
      <c r="B274" s="4" t="s">
        <v>644</v>
      </c>
      <c r="C274" s="4" t="s">
        <v>638</v>
      </c>
      <c r="D274" s="4" t="s">
        <v>210</v>
      </c>
      <c r="F274" s="12"/>
      <c r="G274" s="12">
        <f t="shared" si="138"/>
        <v>4.0549999999999997</v>
      </c>
      <c r="H274" s="4">
        <v>4.04</v>
      </c>
      <c r="I274" s="4">
        <v>4.17</v>
      </c>
      <c r="L274" s="4">
        <v>3.94</v>
      </c>
      <c r="M274" s="4">
        <v>4.07</v>
      </c>
      <c r="T274" s="4" t="s">
        <v>647</v>
      </c>
      <c r="V274" s="4">
        <v>2</v>
      </c>
      <c r="W274" s="4" t="s">
        <v>636</v>
      </c>
      <c r="Y274" s="4" t="s">
        <v>15</v>
      </c>
      <c r="AA274" s="4" t="s">
        <v>471</v>
      </c>
      <c r="AC274" s="4" t="s">
        <v>632</v>
      </c>
      <c r="AD274" s="6" t="s">
        <v>635</v>
      </c>
      <c r="AE274" s="12" t="s">
        <v>820</v>
      </c>
      <c r="AF274" s="12"/>
      <c r="AG274" s="6"/>
      <c r="AI274" s="4">
        <v>3.4</v>
      </c>
      <c r="AJ274" s="4">
        <v>4.2</v>
      </c>
      <c r="AL274" s="4" t="s">
        <v>637</v>
      </c>
      <c r="AM274" s="10"/>
      <c r="AP274" s="15">
        <v>40</v>
      </c>
      <c r="AQ274" s="4">
        <v>0.04</v>
      </c>
      <c r="AR274" s="7">
        <v>0.5</v>
      </c>
      <c r="AS274" s="7">
        <v>1</v>
      </c>
      <c r="AV274" s="4">
        <v>122</v>
      </c>
      <c r="AW274" s="7">
        <f t="shared" si="141"/>
        <v>61</v>
      </c>
      <c r="AX274" s="7">
        <f t="shared" si="142"/>
        <v>122</v>
      </c>
      <c r="AY274" s="4">
        <v>102</v>
      </c>
      <c r="AZ274" s="4">
        <v>99</v>
      </c>
      <c r="BA274" s="4">
        <v>98</v>
      </c>
      <c r="BB274" s="4">
        <v>96</v>
      </c>
      <c r="BD274" s="4">
        <f t="shared" si="143"/>
        <v>0.96078431372549022</v>
      </c>
      <c r="BE274" s="4">
        <f t="shared" si="144"/>
        <v>0.08</v>
      </c>
    </row>
    <row r="275" spans="1:59" s="1" customFormat="1" ht="19.5" customHeight="1" x14ac:dyDescent="0.2">
      <c r="A275" s="1">
        <v>25</v>
      </c>
      <c r="B275" s="1" t="s">
        <v>645</v>
      </c>
      <c r="C275" s="1" t="s">
        <v>638</v>
      </c>
      <c r="D275" s="1" t="s">
        <v>210</v>
      </c>
      <c r="F275" s="13"/>
      <c r="G275" s="12" t="e">
        <f t="shared" si="138"/>
        <v>#DIV/0!</v>
      </c>
      <c r="P275" s="1" t="s">
        <v>649</v>
      </c>
      <c r="Q275" s="1">
        <v>0.99</v>
      </c>
      <c r="R275" s="3"/>
      <c r="T275" s="1" t="s">
        <v>647</v>
      </c>
      <c r="V275" s="1">
        <v>2</v>
      </c>
      <c r="W275" s="1" t="s">
        <v>636</v>
      </c>
      <c r="Y275" s="1" t="s">
        <v>15</v>
      </c>
      <c r="AA275" s="1" t="s">
        <v>471</v>
      </c>
      <c r="AC275" s="1" t="s">
        <v>632</v>
      </c>
      <c r="AD275" s="5" t="s">
        <v>635</v>
      </c>
      <c r="AE275" s="13" t="s">
        <v>820</v>
      </c>
      <c r="AF275" s="13"/>
      <c r="AG275" s="5"/>
      <c r="AI275" s="1">
        <v>3.4</v>
      </c>
      <c r="AJ275" s="1">
        <v>4.2</v>
      </c>
      <c r="AL275" s="1" t="s">
        <v>637</v>
      </c>
      <c r="AM275" s="2"/>
      <c r="AN275" s="3"/>
      <c r="AP275" s="15">
        <v>40</v>
      </c>
      <c r="AQ275" s="1">
        <v>0.04</v>
      </c>
      <c r="AR275" s="3">
        <v>0.5</v>
      </c>
      <c r="AS275" s="3">
        <v>1</v>
      </c>
      <c r="AT275" s="3"/>
      <c r="AU275" s="3"/>
      <c r="AV275" s="1">
        <v>142.6</v>
      </c>
      <c r="AW275" s="3">
        <f t="shared" si="141"/>
        <v>71.3</v>
      </c>
      <c r="AX275" s="3">
        <f t="shared" si="142"/>
        <v>142.6</v>
      </c>
      <c r="AY275" s="1">
        <v>122</v>
      </c>
      <c r="AZ275" s="1">
        <v>118</v>
      </c>
      <c r="BA275" s="1">
        <v>116</v>
      </c>
      <c r="BB275" s="1">
        <v>113</v>
      </c>
      <c r="BD275" s="1">
        <f t="shared" si="143"/>
        <v>0.95081967213114749</v>
      </c>
      <c r="BE275" s="1">
        <f t="shared" si="144"/>
        <v>0.12</v>
      </c>
      <c r="BG275" s="3"/>
    </row>
    <row r="276" spans="1:59" ht="17.25" customHeight="1" x14ac:dyDescent="0.2">
      <c r="A276" s="4">
        <v>25</v>
      </c>
      <c r="B276" s="4" t="s">
        <v>646</v>
      </c>
      <c r="C276" s="4" t="s">
        <v>638</v>
      </c>
      <c r="D276" s="4" t="s">
        <v>210</v>
      </c>
      <c r="F276" s="12"/>
      <c r="G276" s="12" t="e">
        <f t="shared" si="138"/>
        <v>#DIV/0!</v>
      </c>
      <c r="P276" s="4" t="s">
        <v>649</v>
      </c>
      <c r="Q276" s="4">
        <v>0.99</v>
      </c>
      <c r="T276" s="4" t="s">
        <v>647</v>
      </c>
      <c r="V276" s="4">
        <v>2</v>
      </c>
      <c r="W276" s="4" t="s">
        <v>636</v>
      </c>
      <c r="Y276" s="4" t="s">
        <v>15</v>
      </c>
      <c r="AA276" s="4" t="s">
        <v>471</v>
      </c>
      <c r="AC276" s="4" t="s">
        <v>632</v>
      </c>
      <c r="AD276" s="6" t="s">
        <v>635</v>
      </c>
      <c r="AE276" s="12" t="s">
        <v>820</v>
      </c>
      <c r="AF276" s="12"/>
      <c r="AG276" s="6"/>
      <c r="AI276" s="4">
        <v>3.4</v>
      </c>
      <c r="AJ276" s="4">
        <v>4.2</v>
      </c>
      <c r="AL276" s="4" t="s">
        <v>637</v>
      </c>
      <c r="AM276" s="10"/>
      <c r="AP276" s="15">
        <v>40</v>
      </c>
      <c r="AQ276" s="4">
        <v>0.04</v>
      </c>
      <c r="AR276" s="7">
        <v>0.5</v>
      </c>
      <c r="AS276" s="7">
        <v>1</v>
      </c>
      <c r="AV276" s="4">
        <v>122</v>
      </c>
      <c r="AW276" s="7">
        <f t="shared" si="141"/>
        <v>61</v>
      </c>
      <c r="AX276" s="7">
        <f t="shared" si="142"/>
        <v>122</v>
      </c>
      <c r="AY276" s="4">
        <v>104</v>
      </c>
      <c r="AZ276" s="4">
        <v>101</v>
      </c>
      <c r="BA276" s="4">
        <v>100</v>
      </c>
      <c r="BB276" s="4">
        <v>97</v>
      </c>
      <c r="BD276" s="4">
        <f t="shared" si="143"/>
        <v>0.96153846153846156</v>
      </c>
      <c r="BE276" s="4">
        <f t="shared" si="144"/>
        <v>0.08</v>
      </c>
    </row>
    <row r="277" spans="1:59" s="1" customFormat="1" ht="19.5" customHeight="1" x14ac:dyDescent="0.2">
      <c r="A277" s="1">
        <v>25</v>
      </c>
      <c r="B277" s="1" t="s">
        <v>5</v>
      </c>
      <c r="C277" s="1" t="s">
        <v>638</v>
      </c>
      <c r="D277" s="1" t="s">
        <v>210</v>
      </c>
      <c r="F277" s="13"/>
      <c r="G277" s="12" t="e">
        <f t="shared" si="138"/>
        <v>#DIV/0!</v>
      </c>
      <c r="R277" s="3"/>
      <c r="T277" s="1" t="s">
        <v>648</v>
      </c>
      <c r="V277" s="1">
        <v>2</v>
      </c>
      <c r="W277" s="1" t="s">
        <v>636</v>
      </c>
      <c r="Y277" s="1" t="s">
        <v>15</v>
      </c>
      <c r="AA277" s="1" t="s">
        <v>471</v>
      </c>
      <c r="AC277" s="1" t="s">
        <v>632</v>
      </c>
      <c r="AD277" s="5" t="s">
        <v>635</v>
      </c>
      <c r="AE277" s="13" t="s">
        <v>820</v>
      </c>
      <c r="AF277" s="13"/>
      <c r="AG277" s="5"/>
      <c r="AI277" s="1">
        <v>3.4</v>
      </c>
      <c r="AJ277" s="1">
        <v>4.2</v>
      </c>
      <c r="AL277" s="1" t="s">
        <v>637</v>
      </c>
      <c r="AM277" s="2"/>
      <c r="AN277" s="3"/>
      <c r="AP277" s="15"/>
      <c r="AR277" s="3">
        <v>0.5</v>
      </c>
      <c r="AS277" s="3">
        <v>1</v>
      </c>
      <c r="AT277" s="3"/>
      <c r="AU277" s="3"/>
      <c r="AV277" s="1">
        <v>148.19999999999999</v>
      </c>
      <c r="AW277" s="3">
        <f t="shared" si="141"/>
        <v>74.099999999999994</v>
      </c>
      <c r="AX277" s="3">
        <f t="shared" si="142"/>
        <v>148.19999999999999</v>
      </c>
      <c r="AY277" s="1">
        <v>129</v>
      </c>
      <c r="AZ277" s="1">
        <v>120</v>
      </c>
      <c r="BA277" s="1">
        <v>115</v>
      </c>
      <c r="BB277" s="1">
        <v>107</v>
      </c>
      <c r="BD277" s="1">
        <f t="shared" si="143"/>
        <v>0.89147286821705429</v>
      </c>
      <c r="BE277" s="1">
        <f t="shared" si="144"/>
        <v>0.28000000000000003</v>
      </c>
      <c r="BG277" s="3"/>
    </row>
    <row r="278" spans="1:59" ht="17.25" customHeight="1" x14ac:dyDescent="0.2">
      <c r="A278" s="4">
        <v>55</v>
      </c>
      <c r="B278" s="4" t="s">
        <v>639</v>
      </c>
      <c r="C278" s="4" t="s">
        <v>638</v>
      </c>
      <c r="D278" s="4" t="s">
        <v>210</v>
      </c>
      <c r="F278" s="12"/>
      <c r="G278" s="12" t="e">
        <f t="shared" si="138"/>
        <v>#DIV/0!</v>
      </c>
      <c r="T278" s="4" t="s">
        <v>647</v>
      </c>
      <c r="V278" s="4">
        <v>2</v>
      </c>
      <c r="W278" s="4" t="s">
        <v>636</v>
      </c>
      <c r="Y278" s="4" t="s">
        <v>15</v>
      </c>
      <c r="AA278" s="4" t="s">
        <v>471</v>
      </c>
      <c r="AC278" s="4" t="s">
        <v>632</v>
      </c>
      <c r="AD278" s="6" t="s">
        <v>635</v>
      </c>
      <c r="AE278" s="12" t="s">
        <v>820</v>
      </c>
      <c r="AF278" s="12"/>
      <c r="AG278" s="6"/>
      <c r="AI278" s="4">
        <v>3.4</v>
      </c>
      <c r="AJ278" s="4">
        <v>4.2</v>
      </c>
      <c r="AL278" s="4" t="s">
        <v>637</v>
      </c>
      <c r="AM278" s="10"/>
      <c r="AP278" s="15">
        <v>60</v>
      </c>
      <c r="AQ278" s="4">
        <v>0.06</v>
      </c>
      <c r="AR278" s="7">
        <v>0.5</v>
      </c>
      <c r="AS278" s="7">
        <v>1</v>
      </c>
      <c r="AV278" s="4">
        <v>141.19999999999999</v>
      </c>
      <c r="AW278" s="7">
        <f>AR278*AV278</f>
        <v>70.599999999999994</v>
      </c>
      <c r="AX278" s="7">
        <f>AS278*AV278</f>
        <v>141.19999999999999</v>
      </c>
      <c r="AY278" s="4">
        <v>122</v>
      </c>
      <c r="AZ278" s="4">
        <v>113</v>
      </c>
      <c r="BA278" s="4">
        <v>108</v>
      </c>
      <c r="BB278" s="4">
        <v>103</v>
      </c>
      <c r="BD278" s="4">
        <f t="shared" si="143"/>
        <v>0.88524590163934425</v>
      </c>
      <c r="BE278" s="4">
        <f t="shared" si="144"/>
        <v>0.28000000000000003</v>
      </c>
    </row>
    <row r="279" spans="1:59" s="1" customFormat="1" ht="19.5" customHeight="1" x14ac:dyDescent="0.2">
      <c r="A279" s="1">
        <v>55</v>
      </c>
      <c r="B279" s="1" t="s">
        <v>640</v>
      </c>
      <c r="C279" s="1" t="s">
        <v>638</v>
      </c>
      <c r="D279" s="1" t="s">
        <v>210</v>
      </c>
      <c r="F279" s="13"/>
      <c r="G279" s="12" t="e">
        <f t="shared" si="138"/>
        <v>#DIV/0!</v>
      </c>
      <c r="R279" s="3"/>
      <c r="T279" s="1" t="s">
        <v>647</v>
      </c>
      <c r="V279" s="1">
        <v>2</v>
      </c>
      <c r="W279" s="1" t="s">
        <v>636</v>
      </c>
      <c r="Y279" s="1" t="s">
        <v>15</v>
      </c>
      <c r="AA279" s="1" t="s">
        <v>471</v>
      </c>
      <c r="AC279" s="1" t="s">
        <v>632</v>
      </c>
      <c r="AD279" s="5" t="s">
        <v>635</v>
      </c>
      <c r="AE279" s="13" t="s">
        <v>820</v>
      </c>
      <c r="AF279" s="13"/>
      <c r="AG279" s="5"/>
      <c r="AI279" s="1">
        <v>3.4</v>
      </c>
      <c r="AJ279" s="1">
        <v>4.2</v>
      </c>
      <c r="AL279" s="1" t="s">
        <v>637</v>
      </c>
      <c r="AM279" s="2"/>
      <c r="AN279" s="3"/>
      <c r="AP279" s="15">
        <v>60</v>
      </c>
      <c r="AQ279" s="1">
        <v>0.06</v>
      </c>
      <c r="AR279" s="3">
        <v>0.5</v>
      </c>
      <c r="AS279" s="3">
        <v>1</v>
      </c>
      <c r="AT279" s="3"/>
      <c r="AU279" s="3"/>
      <c r="AV279" s="1">
        <v>120.5</v>
      </c>
      <c r="AW279" s="3">
        <f t="shared" ref="AW279:AW287" si="145">AR279*AV279</f>
        <v>60.25</v>
      </c>
      <c r="AX279" s="3">
        <f t="shared" ref="AX279:AX287" si="146">AS279*AV279</f>
        <v>120.5</v>
      </c>
      <c r="AY279" s="1">
        <v>105</v>
      </c>
      <c r="AZ279" s="1">
        <v>101</v>
      </c>
      <c r="BA279" s="1">
        <v>99</v>
      </c>
      <c r="BB279" s="1">
        <v>95</v>
      </c>
      <c r="BD279" s="1">
        <f t="shared" si="143"/>
        <v>0.94285714285714284</v>
      </c>
      <c r="BE279" s="1">
        <f t="shared" si="144"/>
        <v>0.12</v>
      </c>
      <c r="BG279" s="3"/>
    </row>
    <row r="280" spans="1:59" ht="17.25" customHeight="1" x14ac:dyDescent="0.2">
      <c r="A280" s="4">
        <v>55</v>
      </c>
      <c r="B280" s="4" t="s">
        <v>641</v>
      </c>
      <c r="C280" s="4" t="s">
        <v>638</v>
      </c>
      <c r="D280" s="4" t="s">
        <v>210</v>
      </c>
      <c r="F280" s="12"/>
      <c r="G280" s="12">
        <f t="shared" si="138"/>
        <v>4.0600000000000005</v>
      </c>
      <c r="H280" s="4">
        <v>4.03</v>
      </c>
      <c r="I280" s="4">
        <v>4.1500000000000004</v>
      </c>
      <c r="L280" s="4">
        <v>3.97</v>
      </c>
      <c r="M280" s="4">
        <v>4.09</v>
      </c>
      <c r="T280" s="4" t="s">
        <v>647</v>
      </c>
      <c r="V280" s="4">
        <v>2</v>
      </c>
      <c r="W280" s="4" t="s">
        <v>636</v>
      </c>
      <c r="Y280" s="4" t="s">
        <v>15</v>
      </c>
      <c r="AA280" s="4" t="s">
        <v>471</v>
      </c>
      <c r="AC280" s="4" t="s">
        <v>632</v>
      </c>
      <c r="AD280" s="6" t="s">
        <v>635</v>
      </c>
      <c r="AE280" s="12" t="s">
        <v>820</v>
      </c>
      <c r="AF280" s="12"/>
      <c r="AG280" s="6"/>
      <c r="AI280" s="4">
        <v>3.4</v>
      </c>
      <c r="AJ280" s="4">
        <v>4.2</v>
      </c>
      <c r="AL280" s="4" t="s">
        <v>637</v>
      </c>
      <c r="AM280" s="10"/>
      <c r="AP280" s="15">
        <v>60</v>
      </c>
      <c r="AQ280" s="4">
        <v>0.06</v>
      </c>
      <c r="AR280" s="7">
        <v>0.5</v>
      </c>
      <c r="AS280" s="7">
        <v>1</v>
      </c>
      <c r="AV280" s="4">
        <v>142.9</v>
      </c>
      <c r="AW280" s="7">
        <f t="shared" si="145"/>
        <v>71.45</v>
      </c>
      <c r="AX280" s="7">
        <f t="shared" si="146"/>
        <v>142.9</v>
      </c>
      <c r="AY280" s="4">
        <v>123</v>
      </c>
      <c r="AZ280" s="4">
        <v>114</v>
      </c>
      <c r="BA280" s="4">
        <v>109</v>
      </c>
      <c r="BB280" s="4">
        <v>102</v>
      </c>
      <c r="BD280" s="4">
        <f t="shared" ref="BD280:BD287" si="147">BA280/AY280</f>
        <v>0.88617886178861793</v>
      </c>
      <c r="BE280" s="4">
        <f t="shared" ref="BE280:BE287" si="148">(AY280-BA280)/50</f>
        <v>0.28000000000000003</v>
      </c>
    </row>
    <row r="281" spans="1:59" s="1" customFormat="1" ht="19.5" customHeight="1" x14ac:dyDescent="0.2">
      <c r="A281" s="1">
        <v>55</v>
      </c>
      <c r="B281" s="1" t="s">
        <v>642</v>
      </c>
      <c r="C281" s="1" t="s">
        <v>638</v>
      </c>
      <c r="D281" s="1" t="s">
        <v>210</v>
      </c>
      <c r="F281" s="13"/>
      <c r="G281" s="12">
        <f t="shared" si="138"/>
        <v>4.0525000000000002</v>
      </c>
      <c r="H281" s="1">
        <v>4.0199999999999996</v>
      </c>
      <c r="I281" s="1">
        <v>4.1500000000000004</v>
      </c>
      <c r="L281" s="1">
        <v>3.95</v>
      </c>
      <c r="M281" s="1">
        <v>4.09</v>
      </c>
      <c r="R281" s="3"/>
      <c r="T281" s="1" t="s">
        <v>647</v>
      </c>
      <c r="V281" s="1">
        <v>2</v>
      </c>
      <c r="W281" s="1" t="s">
        <v>636</v>
      </c>
      <c r="Y281" s="1" t="s">
        <v>15</v>
      </c>
      <c r="AA281" s="1" t="s">
        <v>471</v>
      </c>
      <c r="AC281" s="1" t="s">
        <v>632</v>
      </c>
      <c r="AD281" s="5" t="s">
        <v>635</v>
      </c>
      <c r="AE281" s="13" t="s">
        <v>820</v>
      </c>
      <c r="AF281" s="13"/>
      <c r="AG281" s="5"/>
      <c r="AI281" s="1">
        <v>3.4</v>
      </c>
      <c r="AJ281" s="1">
        <v>4.2</v>
      </c>
      <c r="AL281" s="1" t="s">
        <v>637</v>
      </c>
      <c r="AM281" s="2"/>
      <c r="AN281" s="3"/>
      <c r="AP281" s="15">
        <v>60</v>
      </c>
      <c r="AQ281" s="1">
        <v>0.06</v>
      </c>
      <c r="AR281" s="3">
        <v>0.5</v>
      </c>
      <c r="AS281" s="3">
        <v>1</v>
      </c>
      <c r="AT281" s="3"/>
      <c r="AU281" s="3"/>
      <c r="AV281" s="1">
        <v>122.2</v>
      </c>
      <c r="AW281" s="3">
        <f t="shared" si="145"/>
        <v>61.1</v>
      </c>
      <c r="AX281" s="3">
        <f t="shared" si="146"/>
        <v>122.2</v>
      </c>
      <c r="AY281" s="1">
        <v>105</v>
      </c>
      <c r="AZ281" s="1">
        <v>101</v>
      </c>
      <c r="BA281" s="1">
        <v>99</v>
      </c>
      <c r="BB281" s="1">
        <v>95</v>
      </c>
      <c r="BD281" s="1">
        <f t="shared" si="147"/>
        <v>0.94285714285714284</v>
      </c>
      <c r="BE281" s="1">
        <f t="shared" si="148"/>
        <v>0.12</v>
      </c>
      <c r="BG281" s="3"/>
    </row>
    <row r="282" spans="1:59" ht="17.25" customHeight="1" x14ac:dyDescent="0.2">
      <c r="A282" s="4">
        <v>55</v>
      </c>
      <c r="B282" s="4" t="s">
        <v>643</v>
      </c>
      <c r="C282" s="4" t="s">
        <v>638</v>
      </c>
      <c r="D282" s="4" t="s">
        <v>210</v>
      </c>
      <c r="F282" s="12"/>
      <c r="G282" s="12" t="e">
        <f t="shared" si="138"/>
        <v>#DIV/0!</v>
      </c>
      <c r="T282" s="4" t="s">
        <v>647</v>
      </c>
      <c r="V282" s="4">
        <v>2</v>
      </c>
      <c r="W282" s="4" t="s">
        <v>636</v>
      </c>
      <c r="Y282" s="4" t="s">
        <v>15</v>
      </c>
      <c r="AA282" s="4" t="s">
        <v>471</v>
      </c>
      <c r="AC282" s="4" t="s">
        <v>632</v>
      </c>
      <c r="AD282" s="6" t="s">
        <v>635</v>
      </c>
      <c r="AE282" s="12" t="s">
        <v>820</v>
      </c>
      <c r="AF282" s="12"/>
      <c r="AG282" s="6"/>
      <c r="AI282" s="4">
        <v>3.4</v>
      </c>
      <c r="AJ282" s="4">
        <v>4.2</v>
      </c>
      <c r="AL282" s="4" t="s">
        <v>637</v>
      </c>
      <c r="AM282" s="10"/>
      <c r="AP282" s="15">
        <v>40</v>
      </c>
      <c r="AQ282" s="4">
        <v>0.04</v>
      </c>
      <c r="AR282" s="7">
        <v>0.5</v>
      </c>
      <c r="AS282" s="7">
        <v>1</v>
      </c>
      <c r="AV282" s="4">
        <v>142.69999999999999</v>
      </c>
      <c r="AW282" s="7">
        <f t="shared" si="145"/>
        <v>71.349999999999994</v>
      </c>
      <c r="AX282" s="7">
        <f t="shared" si="146"/>
        <v>142.69999999999999</v>
      </c>
      <c r="AY282" s="4">
        <v>117</v>
      </c>
      <c r="AZ282" s="4">
        <v>104</v>
      </c>
      <c r="BA282" s="4">
        <v>100</v>
      </c>
      <c r="BB282" s="4">
        <v>91</v>
      </c>
      <c r="BD282" s="4">
        <f t="shared" si="147"/>
        <v>0.85470085470085466</v>
      </c>
      <c r="BE282" s="4">
        <f t="shared" si="148"/>
        <v>0.34</v>
      </c>
    </row>
    <row r="283" spans="1:59" s="1" customFormat="1" ht="19.5" customHeight="1" x14ac:dyDescent="0.2">
      <c r="A283" s="1">
        <v>55</v>
      </c>
      <c r="B283" s="1" t="s">
        <v>644</v>
      </c>
      <c r="C283" s="1" t="s">
        <v>638</v>
      </c>
      <c r="D283" s="1" t="s">
        <v>210</v>
      </c>
      <c r="F283" s="13"/>
      <c r="G283" s="12" t="e">
        <f t="shared" si="138"/>
        <v>#DIV/0!</v>
      </c>
      <c r="R283" s="3"/>
      <c r="T283" s="1" t="s">
        <v>647</v>
      </c>
      <c r="V283" s="1">
        <v>2</v>
      </c>
      <c r="W283" s="1" t="s">
        <v>636</v>
      </c>
      <c r="Y283" s="1" t="s">
        <v>15</v>
      </c>
      <c r="AA283" s="1" t="s">
        <v>471</v>
      </c>
      <c r="AC283" s="1" t="s">
        <v>632</v>
      </c>
      <c r="AD283" s="5" t="s">
        <v>635</v>
      </c>
      <c r="AE283" s="13" t="s">
        <v>820</v>
      </c>
      <c r="AF283" s="13"/>
      <c r="AG283" s="5"/>
      <c r="AI283" s="1">
        <v>3.4</v>
      </c>
      <c r="AJ283" s="1">
        <v>4.2</v>
      </c>
      <c r="AL283" s="1" t="s">
        <v>637</v>
      </c>
      <c r="AM283" s="2"/>
      <c r="AN283" s="3"/>
      <c r="AP283" s="15">
        <v>40</v>
      </c>
      <c r="AQ283" s="1">
        <v>0.04</v>
      </c>
      <c r="AR283" s="3">
        <v>0.5</v>
      </c>
      <c r="AS283" s="3">
        <v>1</v>
      </c>
      <c r="AT283" s="3"/>
      <c r="AU283" s="3"/>
      <c r="AV283" s="1">
        <v>122</v>
      </c>
      <c r="AW283" s="3">
        <f t="shared" si="145"/>
        <v>61</v>
      </c>
      <c r="AX283" s="3">
        <f t="shared" si="146"/>
        <v>122</v>
      </c>
      <c r="AY283" s="1">
        <v>103</v>
      </c>
      <c r="AZ283" s="1">
        <v>96</v>
      </c>
      <c r="BA283" s="1">
        <v>93</v>
      </c>
      <c r="BB283" s="1">
        <v>89</v>
      </c>
      <c r="BD283" s="1">
        <f t="shared" si="147"/>
        <v>0.90291262135922334</v>
      </c>
      <c r="BE283" s="1">
        <f t="shared" si="148"/>
        <v>0.2</v>
      </c>
      <c r="BG283" s="3"/>
    </row>
    <row r="284" spans="1:59" ht="17.25" customHeight="1" x14ac:dyDescent="0.2">
      <c r="A284" s="4">
        <v>55</v>
      </c>
      <c r="B284" s="4" t="s">
        <v>645</v>
      </c>
      <c r="C284" s="4" t="s">
        <v>638</v>
      </c>
      <c r="D284" s="4" t="s">
        <v>210</v>
      </c>
      <c r="F284" s="12"/>
      <c r="G284" s="12" t="e">
        <f t="shared" si="138"/>
        <v>#DIV/0!</v>
      </c>
      <c r="T284" s="4" t="s">
        <v>647</v>
      </c>
      <c r="V284" s="4">
        <v>2</v>
      </c>
      <c r="W284" s="4" t="s">
        <v>636</v>
      </c>
      <c r="Y284" s="4" t="s">
        <v>15</v>
      </c>
      <c r="AA284" s="4" t="s">
        <v>471</v>
      </c>
      <c r="AC284" s="4" t="s">
        <v>632</v>
      </c>
      <c r="AD284" s="6" t="s">
        <v>635</v>
      </c>
      <c r="AE284" s="12" t="s">
        <v>820</v>
      </c>
      <c r="AF284" s="12"/>
      <c r="AG284" s="6"/>
      <c r="AI284" s="4">
        <v>3.4</v>
      </c>
      <c r="AJ284" s="4">
        <v>4.2</v>
      </c>
      <c r="AL284" s="4" t="s">
        <v>637</v>
      </c>
      <c r="AM284" s="10"/>
      <c r="AP284" s="15">
        <v>40</v>
      </c>
      <c r="AQ284" s="4">
        <v>0.04</v>
      </c>
      <c r="AR284" s="7">
        <v>0.5</v>
      </c>
      <c r="AS284" s="7">
        <v>1</v>
      </c>
      <c r="AV284" s="4">
        <v>142.6</v>
      </c>
      <c r="AW284" s="7">
        <f t="shared" si="145"/>
        <v>71.3</v>
      </c>
      <c r="AX284" s="7">
        <f t="shared" si="146"/>
        <v>142.6</v>
      </c>
      <c r="AY284" s="4">
        <v>122</v>
      </c>
      <c r="AZ284" s="4">
        <v>111</v>
      </c>
      <c r="BA284" s="4">
        <v>105</v>
      </c>
      <c r="BB284" s="4">
        <v>97</v>
      </c>
      <c r="BD284" s="4">
        <f t="shared" si="147"/>
        <v>0.86065573770491799</v>
      </c>
      <c r="BE284" s="4">
        <f t="shared" si="148"/>
        <v>0.34</v>
      </c>
    </row>
    <row r="285" spans="1:59" s="1" customFormat="1" ht="19.5" customHeight="1" x14ac:dyDescent="0.2">
      <c r="A285" s="1">
        <v>55</v>
      </c>
      <c r="B285" s="1" t="s">
        <v>646</v>
      </c>
      <c r="C285" s="1" t="s">
        <v>638</v>
      </c>
      <c r="D285" s="1" t="s">
        <v>210</v>
      </c>
      <c r="F285" s="13"/>
      <c r="G285" s="12" t="e">
        <f t="shared" si="138"/>
        <v>#DIV/0!</v>
      </c>
      <c r="R285" s="3"/>
      <c r="T285" s="1" t="s">
        <v>647</v>
      </c>
      <c r="V285" s="1">
        <v>2</v>
      </c>
      <c r="W285" s="1" t="s">
        <v>636</v>
      </c>
      <c r="Y285" s="1" t="s">
        <v>15</v>
      </c>
      <c r="AA285" s="1" t="s">
        <v>471</v>
      </c>
      <c r="AC285" s="1" t="s">
        <v>632</v>
      </c>
      <c r="AD285" s="5" t="s">
        <v>635</v>
      </c>
      <c r="AE285" s="13" t="s">
        <v>820</v>
      </c>
      <c r="AF285" s="13"/>
      <c r="AG285" s="5"/>
      <c r="AI285" s="1">
        <v>3.4</v>
      </c>
      <c r="AJ285" s="1">
        <v>4.2</v>
      </c>
      <c r="AL285" s="1" t="s">
        <v>637</v>
      </c>
      <c r="AM285" s="2"/>
      <c r="AN285" s="3"/>
      <c r="AP285" s="15">
        <v>40</v>
      </c>
      <c r="AQ285" s="1">
        <v>0.04</v>
      </c>
      <c r="AR285" s="3">
        <v>0.5</v>
      </c>
      <c r="AS285" s="3">
        <v>1</v>
      </c>
      <c r="AT285" s="3"/>
      <c r="AU285" s="3"/>
      <c r="AV285" s="1">
        <v>122</v>
      </c>
      <c r="AW285" s="3">
        <f t="shared" si="145"/>
        <v>61</v>
      </c>
      <c r="AX285" s="3">
        <f t="shared" si="146"/>
        <v>122</v>
      </c>
      <c r="AY285" s="1">
        <v>105</v>
      </c>
      <c r="AZ285" s="1">
        <v>99</v>
      </c>
      <c r="BA285" s="1">
        <v>96</v>
      </c>
      <c r="BB285" s="1">
        <v>91</v>
      </c>
      <c r="BD285" s="1">
        <f t="shared" si="147"/>
        <v>0.91428571428571426</v>
      </c>
      <c r="BE285" s="1">
        <f t="shared" si="148"/>
        <v>0.18</v>
      </c>
      <c r="BG285" s="3"/>
    </row>
    <row r="286" spans="1:59" ht="17.25" customHeight="1" x14ac:dyDescent="0.2">
      <c r="A286" s="4">
        <v>55</v>
      </c>
      <c r="B286" s="4" t="s">
        <v>5</v>
      </c>
      <c r="C286" s="4" t="s">
        <v>638</v>
      </c>
      <c r="D286" s="4" t="s">
        <v>210</v>
      </c>
      <c r="F286" s="12"/>
      <c r="G286" s="12" t="e">
        <f t="shared" si="138"/>
        <v>#DIV/0!</v>
      </c>
      <c r="T286" s="4" t="s">
        <v>647</v>
      </c>
      <c r="V286" s="4">
        <v>2</v>
      </c>
      <c r="W286" s="4" t="s">
        <v>636</v>
      </c>
      <c r="Y286" s="4" t="s">
        <v>15</v>
      </c>
      <c r="AA286" s="4" t="s">
        <v>471</v>
      </c>
      <c r="AC286" s="4" t="s">
        <v>632</v>
      </c>
      <c r="AD286" s="6" t="s">
        <v>635</v>
      </c>
      <c r="AE286" s="12" t="s">
        <v>820</v>
      </c>
      <c r="AF286" s="12"/>
      <c r="AG286" s="6"/>
      <c r="AI286" s="4">
        <v>3.4</v>
      </c>
      <c r="AJ286" s="4">
        <v>4.2</v>
      </c>
      <c r="AL286" s="4" t="s">
        <v>637</v>
      </c>
      <c r="AM286" s="10"/>
      <c r="AR286" s="7">
        <v>0.5</v>
      </c>
      <c r="AS286" s="7">
        <v>1</v>
      </c>
      <c r="AV286" s="4">
        <v>148.19999999999999</v>
      </c>
      <c r="AW286" s="7">
        <f t="shared" si="145"/>
        <v>74.099999999999994</v>
      </c>
      <c r="AX286" s="7">
        <f t="shared" si="146"/>
        <v>148.19999999999999</v>
      </c>
      <c r="AY286" s="4">
        <v>124</v>
      </c>
      <c r="AZ286" s="4">
        <v>110</v>
      </c>
      <c r="BA286" s="4">
        <v>102</v>
      </c>
      <c r="BB286" s="4">
        <v>92</v>
      </c>
      <c r="BD286" s="4">
        <f t="shared" si="147"/>
        <v>0.82258064516129037</v>
      </c>
      <c r="BE286" s="4">
        <f t="shared" si="148"/>
        <v>0.44</v>
      </c>
    </row>
    <row r="287" spans="1:59" s="1" customFormat="1" ht="19.5" customHeight="1" x14ac:dyDescent="0.2">
      <c r="A287" s="1" t="s">
        <v>167</v>
      </c>
      <c r="B287" s="1" t="s">
        <v>650</v>
      </c>
      <c r="C287" s="1" t="s">
        <v>651</v>
      </c>
      <c r="D287" s="1" t="s">
        <v>210</v>
      </c>
      <c r="F287" s="13">
        <v>3</v>
      </c>
      <c r="G287" s="12">
        <f t="shared" si="138"/>
        <v>3.25</v>
      </c>
      <c r="H287" s="1">
        <v>3.5</v>
      </c>
      <c r="L287" s="1">
        <v>3</v>
      </c>
      <c r="P287" s="1" t="s">
        <v>655</v>
      </c>
      <c r="Q287" s="1">
        <f>135/150</f>
        <v>0.9</v>
      </c>
      <c r="R287" s="3">
        <f>114/135</f>
        <v>0.84444444444444444</v>
      </c>
      <c r="T287" s="1" t="s">
        <v>654</v>
      </c>
      <c r="V287" s="1">
        <v>5</v>
      </c>
      <c r="W287" s="1" t="s">
        <v>52</v>
      </c>
      <c r="Y287" s="1" t="s">
        <v>15</v>
      </c>
      <c r="AA287" s="1" t="s">
        <v>471</v>
      </c>
      <c r="AC287" s="1" t="s">
        <v>633</v>
      </c>
      <c r="AD287" s="5" t="s">
        <v>653</v>
      </c>
      <c r="AE287" s="13" t="s">
        <v>814</v>
      </c>
      <c r="AF287" s="13">
        <v>3</v>
      </c>
      <c r="AG287" s="5"/>
      <c r="AI287" s="1">
        <v>2</v>
      </c>
      <c r="AJ287" s="1">
        <v>4.2</v>
      </c>
      <c r="AL287" s="1" t="s">
        <v>652</v>
      </c>
      <c r="AM287" s="2" t="s">
        <v>155</v>
      </c>
      <c r="AN287" s="3"/>
      <c r="AP287" s="15">
        <v>30</v>
      </c>
      <c r="AQ287" s="1">
        <v>0.1</v>
      </c>
      <c r="AR287" s="3">
        <v>10</v>
      </c>
      <c r="AS287" s="3">
        <v>10</v>
      </c>
      <c r="AT287" s="3"/>
      <c r="AU287" s="3"/>
      <c r="AV287" s="1">
        <v>170</v>
      </c>
      <c r="AW287" s="3">
        <f t="shared" si="145"/>
        <v>1700</v>
      </c>
      <c r="AX287" s="3">
        <f t="shared" si="146"/>
        <v>1700</v>
      </c>
      <c r="AY287" s="1">
        <v>114</v>
      </c>
      <c r="AZ287" s="1">
        <v>114</v>
      </c>
      <c r="BA287" s="1">
        <v>114</v>
      </c>
      <c r="BB287" s="1">
        <v>114</v>
      </c>
      <c r="BD287" s="1">
        <f t="shared" si="147"/>
        <v>1</v>
      </c>
      <c r="BE287" s="1">
        <f t="shared" si="148"/>
        <v>0</v>
      </c>
      <c r="BG287" s="3">
        <f>114/125</f>
        <v>0.91200000000000003</v>
      </c>
    </row>
    <row r="288" spans="1:59" ht="17.25" customHeight="1" x14ac:dyDescent="0.2">
      <c r="A288" s="4" t="s">
        <v>167</v>
      </c>
      <c r="B288" s="4" t="s">
        <v>650</v>
      </c>
      <c r="C288" s="4" t="s">
        <v>651</v>
      </c>
      <c r="D288" s="4" t="s">
        <v>210</v>
      </c>
      <c r="F288" s="14">
        <v>2.75</v>
      </c>
      <c r="G288" s="14">
        <f t="shared" si="138"/>
        <v>3.25</v>
      </c>
      <c r="H288" s="4">
        <v>3.5</v>
      </c>
      <c r="L288" s="4">
        <v>3</v>
      </c>
      <c r="Q288" s="4">
        <f>135/150</f>
        <v>0.9</v>
      </c>
      <c r="R288" s="7">
        <f>114/135</f>
        <v>0.84444444444444444</v>
      </c>
      <c r="T288" s="4" t="s">
        <v>654</v>
      </c>
      <c r="V288" s="4">
        <v>5</v>
      </c>
      <c r="W288" s="4" t="s">
        <v>52</v>
      </c>
      <c r="Y288" s="4" t="s">
        <v>15</v>
      </c>
      <c r="AA288" s="4" t="s">
        <v>471</v>
      </c>
      <c r="AC288" s="4" t="s">
        <v>633</v>
      </c>
      <c r="AD288" s="6" t="s">
        <v>653</v>
      </c>
      <c r="AE288" s="12" t="s">
        <v>814</v>
      </c>
      <c r="AF288" s="12">
        <v>2.75</v>
      </c>
      <c r="AG288" s="6"/>
      <c r="AI288" s="4">
        <v>2</v>
      </c>
      <c r="AJ288" s="4">
        <v>4.2</v>
      </c>
      <c r="AL288" s="4" t="s">
        <v>652</v>
      </c>
      <c r="AM288" s="10" t="s">
        <v>155</v>
      </c>
      <c r="AP288" s="15">
        <v>30</v>
      </c>
      <c r="AQ288" s="4">
        <v>0.1</v>
      </c>
      <c r="AR288" s="7">
        <v>20</v>
      </c>
      <c r="AS288" s="7">
        <v>20</v>
      </c>
      <c r="AV288" s="4">
        <v>170</v>
      </c>
      <c r="AW288" s="7">
        <f t="shared" ref="AW288" si="149">AR288*AV288</f>
        <v>3400</v>
      </c>
      <c r="AX288" s="7">
        <f t="shared" ref="AX288" si="150">AS288*AV288</f>
        <v>3400</v>
      </c>
      <c r="AY288" s="4">
        <v>104</v>
      </c>
      <c r="AZ288" s="4">
        <v>101</v>
      </c>
      <c r="BA288" s="4">
        <v>101</v>
      </c>
      <c r="BB288" s="4">
        <v>101</v>
      </c>
      <c r="BD288" s="4">
        <f t="shared" ref="BD288:BD290" si="151">BA288/AY288</f>
        <v>0.97115384615384615</v>
      </c>
      <c r="BE288" s="4">
        <f t="shared" ref="BE288:BE290" si="152">(AY288-BA288)/50</f>
        <v>0.06</v>
      </c>
    </row>
    <row r="289" spans="1:59" s="1" customFormat="1" ht="19.5" customHeight="1" x14ac:dyDescent="0.2">
      <c r="A289" s="1">
        <v>23</v>
      </c>
      <c r="B289" s="1" t="s">
        <v>681</v>
      </c>
      <c r="C289" s="1" t="s">
        <v>674</v>
      </c>
      <c r="D289" s="1" t="s">
        <v>210</v>
      </c>
      <c r="F289" s="13"/>
      <c r="G289" s="12">
        <f t="shared" si="138"/>
        <v>3.8666666666666667</v>
      </c>
      <c r="H289" s="1">
        <v>3.85</v>
      </c>
      <c r="I289" s="1">
        <v>4.6500000000000004</v>
      </c>
      <c r="L289" s="1">
        <v>3.1</v>
      </c>
      <c r="R289" s="3"/>
      <c r="T289" s="1" t="s">
        <v>682</v>
      </c>
      <c r="V289" s="1">
        <v>2</v>
      </c>
      <c r="W289" s="1" t="s">
        <v>673</v>
      </c>
      <c r="Y289" s="1" t="s">
        <v>15</v>
      </c>
      <c r="AA289" s="1" t="s">
        <v>680</v>
      </c>
      <c r="AC289" s="1" t="s">
        <v>634</v>
      </c>
      <c r="AD289" s="5" t="s">
        <v>688</v>
      </c>
      <c r="AE289" s="13" t="s">
        <v>825</v>
      </c>
      <c r="AF289" s="13"/>
      <c r="AG289" s="5"/>
      <c r="AI289" s="1">
        <v>2</v>
      </c>
      <c r="AJ289" s="1">
        <v>4.8</v>
      </c>
      <c r="AL289" s="1" t="s">
        <v>353</v>
      </c>
      <c r="AM289" s="2" t="s">
        <v>679</v>
      </c>
      <c r="AN289" s="3"/>
      <c r="AP289" s="15"/>
      <c r="AR289" s="3"/>
      <c r="AS289" s="3"/>
      <c r="AT289" s="3"/>
      <c r="AU289" s="3"/>
      <c r="AW289" s="3">
        <v>23</v>
      </c>
      <c r="AX289" s="3">
        <v>23</v>
      </c>
      <c r="AY289" s="1">
        <v>240</v>
      </c>
      <c r="AZ289" s="1">
        <v>155</v>
      </c>
      <c r="BA289" s="1">
        <v>131</v>
      </c>
      <c r="BD289" s="1">
        <f t="shared" si="151"/>
        <v>0.54583333333333328</v>
      </c>
      <c r="BE289" s="1">
        <f t="shared" si="152"/>
        <v>2.1800000000000002</v>
      </c>
      <c r="BG289" s="3">
        <f>AY289/341</f>
        <v>0.70381231671554256</v>
      </c>
    </row>
    <row r="290" spans="1:59" ht="17.25" customHeight="1" x14ac:dyDescent="0.2">
      <c r="A290" s="4">
        <v>23</v>
      </c>
      <c r="B290" s="4" t="s">
        <v>681</v>
      </c>
      <c r="C290" s="4" t="s">
        <v>674</v>
      </c>
      <c r="D290" s="4" t="s">
        <v>210</v>
      </c>
      <c r="F290" s="12"/>
      <c r="G290" s="12">
        <f t="shared" si="138"/>
        <v>3.8666666666666667</v>
      </c>
      <c r="H290" s="4">
        <v>3.85</v>
      </c>
      <c r="I290" s="4">
        <v>4.6500000000000004</v>
      </c>
      <c r="L290" s="4">
        <v>3.1</v>
      </c>
      <c r="T290" s="4" t="s">
        <v>683</v>
      </c>
      <c r="V290" s="4">
        <v>2</v>
      </c>
      <c r="W290" s="4" t="s">
        <v>673</v>
      </c>
      <c r="Y290" s="4" t="s">
        <v>15</v>
      </c>
      <c r="AA290" s="4" t="s">
        <v>680</v>
      </c>
      <c r="AC290" s="4" t="s">
        <v>634</v>
      </c>
      <c r="AD290" s="6" t="s">
        <v>688</v>
      </c>
      <c r="AE290" s="12" t="s">
        <v>825</v>
      </c>
      <c r="AF290" s="12"/>
      <c r="AG290" s="6"/>
      <c r="AI290" s="4">
        <v>2</v>
      </c>
      <c r="AJ290" s="4">
        <v>4.8</v>
      </c>
      <c r="AL290" s="4" t="s">
        <v>353</v>
      </c>
      <c r="AM290" s="10" t="s">
        <v>679</v>
      </c>
      <c r="AP290" s="15">
        <v>20</v>
      </c>
      <c r="AQ290" s="4">
        <v>0.1</v>
      </c>
      <c r="AW290" s="7">
        <v>23</v>
      </c>
      <c r="AX290" s="7">
        <v>23</v>
      </c>
      <c r="AY290" s="4">
        <v>256</v>
      </c>
      <c r="AZ290" s="4">
        <v>226</v>
      </c>
      <c r="BA290" s="4">
        <v>218</v>
      </c>
      <c r="BD290" s="4">
        <f t="shared" si="151"/>
        <v>0.8515625</v>
      </c>
      <c r="BE290" s="4">
        <f t="shared" si="152"/>
        <v>0.76</v>
      </c>
      <c r="BG290" s="7">
        <f>AY290/305</f>
        <v>0.83934426229508197</v>
      </c>
    </row>
    <row r="291" spans="1:59" s="1" customFormat="1" ht="19.5" customHeight="1" x14ac:dyDescent="0.2">
      <c r="A291" s="1">
        <v>23</v>
      </c>
      <c r="B291" s="1" t="s">
        <v>684</v>
      </c>
      <c r="C291" s="1" t="s">
        <v>674</v>
      </c>
      <c r="D291" s="1" t="s">
        <v>210</v>
      </c>
      <c r="F291" s="13"/>
      <c r="G291" s="12" t="e">
        <f t="shared" si="138"/>
        <v>#DIV/0!</v>
      </c>
      <c r="R291" s="3"/>
      <c r="T291" s="1" t="s">
        <v>682</v>
      </c>
      <c r="V291" s="1">
        <v>2</v>
      </c>
      <c r="W291" s="1" t="s">
        <v>673</v>
      </c>
      <c r="Y291" s="1" t="s">
        <v>15</v>
      </c>
      <c r="AA291" s="1" t="s">
        <v>680</v>
      </c>
      <c r="AC291" s="1" t="s">
        <v>634</v>
      </c>
      <c r="AD291" s="5" t="s">
        <v>688</v>
      </c>
      <c r="AE291" s="13" t="s">
        <v>825</v>
      </c>
      <c r="AF291" s="13"/>
      <c r="AG291" s="5"/>
      <c r="AI291" s="1">
        <v>2</v>
      </c>
      <c r="AJ291" s="1">
        <v>4.8</v>
      </c>
      <c r="AL291" s="1" t="s">
        <v>353</v>
      </c>
      <c r="AM291" s="2" t="s">
        <v>679</v>
      </c>
      <c r="AN291" s="3"/>
      <c r="AP291" s="15">
        <v>20</v>
      </c>
      <c r="AQ291" s="1">
        <v>0.1</v>
      </c>
      <c r="AR291" s="3"/>
      <c r="AS291" s="3"/>
      <c r="AT291" s="3"/>
      <c r="AU291" s="3"/>
      <c r="AW291" s="3">
        <v>23</v>
      </c>
      <c r="AX291" s="3">
        <v>23</v>
      </c>
      <c r="AY291" s="1">
        <v>234</v>
      </c>
      <c r="AZ291" s="1">
        <v>170</v>
      </c>
      <c r="BA291" s="1">
        <v>137</v>
      </c>
      <c r="BD291" s="1">
        <f t="shared" ref="BD291" si="153">BA291/AY291</f>
        <v>0.5854700854700855</v>
      </c>
      <c r="BE291" s="1">
        <f t="shared" ref="BE291" si="154">(AY291-BA291)/50</f>
        <v>1.94</v>
      </c>
      <c r="BG291" s="3">
        <f>AY291/294</f>
        <v>0.79591836734693877</v>
      </c>
    </row>
    <row r="292" spans="1:59" ht="17.25" customHeight="1" x14ac:dyDescent="0.2">
      <c r="A292" s="4">
        <v>23</v>
      </c>
      <c r="B292" s="4" t="s">
        <v>684</v>
      </c>
      <c r="C292" s="4" t="s">
        <v>674</v>
      </c>
      <c r="D292" s="4" t="s">
        <v>210</v>
      </c>
      <c r="F292" s="12"/>
      <c r="G292" s="12" t="e">
        <f t="shared" si="138"/>
        <v>#DIV/0!</v>
      </c>
      <c r="T292" s="4" t="s">
        <v>683</v>
      </c>
      <c r="V292" s="4">
        <v>2</v>
      </c>
      <c r="W292" s="4" t="s">
        <v>673</v>
      </c>
      <c r="Y292" s="4" t="s">
        <v>15</v>
      </c>
      <c r="AA292" s="4" t="s">
        <v>680</v>
      </c>
      <c r="AC292" s="4" t="s">
        <v>634</v>
      </c>
      <c r="AD292" s="6" t="s">
        <v>688</v>
      </c>
      <c r="AE292" s="12" t="s">
        <v>825</v>
      </c>
      <c r="AF292" s="12"/>
      <c r="AG292" s="6"/>
      <c r="AI292" s="4">
        <v>2</v>
      </c>
      <c r="AJ292" s="4">
        <v>4.8</v>
      </c>
      <c r="AL292" s="4" t="s">
        <v>353</v>
      </c>
      <c r="AM292" s="10" t="s">
        <v>679</v>
      </c>
      <c r="AP292" s="15">
        <v>20</v>
      </c>
      <c r="AQ292" s="4">
        <v>0.1</v>
      </c>
      <c r="AW292" s="7">
        <v>23</v>
      </c>
      <c r="AX292" s="7">
        <v>23</v>
      </c>
      <c r="AY292" s="4">
        <v>83</v>
      </c>
      <c r="AZ292" s="4">
        <v>146</v>
      </c>
      <c r="BA292" s="4">
        <v>153</v>
      </c>
      <c r="BD292" s="4">
        <f t="shared" ref="BD292:BD293" si="155">BA292/AY292</f>
        <v>1.8433734939759037</v>
      </c>
      <c r="BE292" s="4">
        <f t="shared" ref="BE292:BE293" si="156">(AY292-BA292)/50</f>
        <v>-1.4</v>
      </c>
      <c r="BG292" s="7">
        <f>AY292/114</f>
        <v>0.72807017543859653</v>
      </c>
    </row>
    <row r="293" spans="1:59" s="1" customFormat="1" ht="19.5" customHeight="1" x14ac:dyDescent="0.2">
      <c r="A293" s="1">
        <v>23</v>
      </c>
      <c r="B293" s="1" t="s">
        <v>685</v>
      </c>
      <c r="C293" s="1" t="s">
        <v>674</v>
      </c>
      <c r="D293" s="1" t="s">
        <v>210</v>
      </c>
      <c r="F293" s="13"/>
      <c r="G293" s="12">
        <f t="shared" si="138"/>
        <v>3.6974999999999998</v>
      </c>
      <c r="H293" s="1">
        <v>3.14</v>
      </c>
      <c r="I293" s="1">
        <v>3.86</v>
      </c>
      <c r="J293" s="1">
        <v>4.67</v>
      </c>
      <c r="L293" s="1">
        <v>3.12</v>
      </c>
      <c r="R293" s="3"/>
      <c r="T293" s="1" t="s">
        <v>682</v>
      </c>
      <c r="V293" s="1">
        <v>2</v>
      </c>
      <c r="W293" s="1" t="s">
        <v>673</v>
      </c>
      <c r="Y293" s="1" t="s">
        <v>15</v>
      </c>
      <c r="AA293" s="1" t="s">
        <v>680</v>
      </c>
      <c r="AC293" s="1" t="s">
        <v>634</v>
      </c>
      <c r="AD293" s="5" t="s">
        <v>688</v>
      </c>
      <c r="AE293" s="13" t="s">
        <v>825</v>
      </c>
      <c r="AF293" s="13"/>
      <c r="AG293" s="5"/>
      <c r="AI293" s="1">
        <v>2</v>
      </c>
      <c r="AJ293" s="1">
        <v>4.8</v>
      </c>
      <c r="AL293" s="1" t="s">
        <v>353</v>
      </c>
      <c r="AM293" s="2" t="s">
        <v>679</v>
      </c>
      <c r="AN293" s="3"/>
      <c r="AP293" s="15">
        <v>20</v>
      </c>
      <c r="AQ293" s="1">
        <v>0.1</v>
      </c>
      <c r="AR293" s="3"/>
      <c r="AS293" s="3"/>
      <c r="AT293" s="3"/>
      <c r="AU293" s="3"/>
      <c r="AW293" s="3">
        <v>23</v>
      </c>
      <c r="AX293" s="3">
        <v>23</v>
      </c>
      <c r="AY293" s="1">
        <v>152</v>
      </c>
      <c r="AZ293" s="1">
        <v>199</v>
      </c>
      <c r="BA293" s="1">
        <v>172</v>
      </c>
      <c r="BD293" s="1">
        <f t="shared" si="155"/>
        <v>1.131578947368421</v>
      </c>
      <c r="BE293" s="1">
        <f t="shared" si="156"/>
        <v>-0.4</v>
      </c>
      <c r="BG293" s="3">
        <f>AY293/185</f>
        <v>0.82162162162162167</v>
      </c>
    </row>
    <row r="294" spans="1:59" ht="17.25" customHeight="1" x14ac:dyDescent="0.2">
      <c r="A294" s="4">
        <v>23</v>
      </c>
      <c r="B294" s="4" t="s">
        <v>685</v>
      </c>
      <c r="C294" s="4" t="s">
        <v>674</v>
      </c>
      <c r="D294" s="4" t="s">
        <v>210</v>
      </c>
      <c r="F294" s="12"/>
      <c r="G294" s="12">
        <f t="shared" si="138"/>
        <v>3.6974999999999998</v>
      </c>
      <c r="H294" s="4">
        <v>3.14</v>
      </c>
      <c r="I294" s="4">
        <v>3.86</v>
      </c>
      <c r="J294" s="4">
        <v>4.67</v>
      </c>
      <c r="L294" s="4">
        <v>3.12</v>
      </c>
      <c r="T294" s="4" t="s">
        <v>683</v>
      </c>
      <c r="V294" s="4">
        <v>2</v>
      </c>
      <c r="W294" s="4" t="s">
        <v>673</v>
      </c>
      <c r="Y294" s="4" t="s">
        <v>15</v>
      </c>
      <c r="AA294" s="4" t="s">
        <v>680</v>
      </c>
      <c r="AC294" s="4" t="s">
        <v>634</v>
      </c>
      <c r="AD294" s="6" t="s">
        <v>688</v>
      </c>
      <c r="AE294" s="12" t="s">
        <v>825</v>
      </c>
      <c r="AF294" s="12"/>
      <c r="AG294" s="6"/>
      <c r="AI294" s="4">
        <v>2</v>
      </c>
      <c r="AJ294" s="4">
        <v>4.8</v>
      </c>
      <c r="AL294" s="4" t="s">
        <v>353</v>
      </c>
      <c r="AM294" s="10" t="s">
        <v>679</v>
      </c>
      <c r="AP294" s="15">
        <v>20</v>
      </c>
      <c r="AQ294" s="4">
        <v>0.1</v>
      </c>
      <c r="AW294" s="7">
        <v>23</v>
      </c>
      <c r="AX294" s="7">
        <v>23</v>
      </c>
      <c r="AY294" s="4">
        <v>51</v>
      </c>
      <c r="AZ294" s="4">
        <v>62</v>
      </c>
      <c r="BA294" s="4">
        <v>67</v>
      </c>
      <c r="BD294" s="4">
        <f t="shared" ref="BD294:BD295" si="157">BA294/AY294</f>
        <v>1.3137254901960784</v>
      </c>
      <c r="BE294" s="4">
        <f t="shared" ref="BE294:BE295" si="158">(AY294-BA294)/50</f>
        <v>-0.32</v>
      </c>
      <c r="BG294" s="7">
        <f>AY294/80</f>
        <v>0.63749999999999996</v>
      </c>
    </row>
    <row r="295" spans="1:59" s="1" customFormat="1" ht="19.5" customHeight="1" x14ac:dyDescent="0.2">
      <c r="A295" s="1">
        <v>30</v>
      </c>
      <c r="B295" s="1" t="s">
        <v>591</v>
      </c>
      <c r="D295" s="1" t="s">
        <v>210</v>
      </c>
      <c r="F295" s="13">
        <v>3.8</v>
      </c>
      <c r="G295" s="12" t="e">
        <f t="shared" si="138"/>
        <v>#DIV/0!</v>
      </c>
      <c r="P295" s="1" t="s">
        <v>607</v>
      </c>
      <c r="Q295" s="1">
        <v>0.92</v>
      </c>
      <c r="R295" s="3"/>
      <c r="T295" s="1" t="s">
        <v>692</v>
      </c>
      <c r="V295" s="1">
        <v>2</v>
      </c>
      <c r="W295" s="1" t="s">
        <v>689</v>
      </c>
      <c r="Y295" s="1" t="s">
        <v>15</v>
      </c>
      <c r="AA295" s="1" t="s">
        <v>691</v>
      </c>
      <c r="AC295" s="1" t="s">
        <v>686</v>
      </c>
      <c r="AD295" s="5" t="s">
        <v>687</v>
      </c>
      <c r="AE295" s="13" t="s">
        <v>825</v>
      </c>
      <c r="AF295" s="13">
        <v>3.8</v>
      </c>
      <c r="AG295" s="5"/>
      <c r="AI295" s="1">
        <v>3</v>
      </c>
      <c r="AJ295" s="1">
        <v>4.5</v>
      </c>
      <c r="AL295" s="1" t="s">
        <v>353</v>
      </c>
      <c r="AM295" s="2" t="s">
        <v>690</v>
      </c>
      <c r="AN295" s="3"/>
      <c r="AP295" s="15"/>
      <c r="AR295" s="3">
        <v>0.5</v>
      </c>
      <c r="AS295" s="3">
        <v>0.5</v>
      </c>
      <c r="AT295" s="3"/>
      <c r="AU295" s="3"/>
      <c r="AW295" s="3">
        <v>85</v>
      </c>
      <c r="AX295" s="3">
        <v>85</v>
      </c>
      <c r="AY295" s="1">
        <v>167</v>
      </c>
      <c r="AZ295" s="1">
        <v>160</v>
      </c>
      <c r="BA295" s="1">
        <v>156</v>
      </c>
      <c r="BB295" s="1">
        <v>144</v>
      </c>
      <c r="BD295" s="1">
        <f t="shared" si="157"/>
        <v>0.93413173652694614</v>
      </c>
      <c r="BE295" s="1">
        <f t="shared" si="158"/>
        <v>0.22</v>
      </c>
      <c r="BG295" s="3">
        <v>1</v>
      </c>
    </row>
    <row r="296" spans="1:59" ht="17.25" customHeight="1" x14ac:dyDescent="0.2">
      <c r="A296" s="4">
        <v>30</v>
      </c>
      <c r="B296" s="4" t="s">
        <v>591</v>
      </c>
      <c r="D296" s="4" t="s">
        <v>210</v>
      </c>
      <c r="F296" s="12">
        <v>3.8</v>
      </c>
      <c r="G296" s="12" t="e">
        <f t="shared" si="138"/>
        <v>#DIV/0!</v>
      </c>
      <c r="P296" s="4" t="s">
        <v>607</v>
      </c>
      <c r="Q296" s="4">
        <v>0.77</v>
      </c>
      <c r="T296" s="4" t="s">
        <v>693</v>
      </c>
      <c r="V296" s="4">
        <v>2</v>
      </c>
      <c r="W296" s="4" t="s">
        <v>689</v>
      </c>
      <c r="Y296" s="4" t="s">
        <v>15</v>
      </c>
      <c r="AA296" s="4" t="s">
        <v>691</v>
      </c>
      <c r="AC296" s="4" t="s">
        <v>686</v>
      </c>
      <c r="AD296" s="6" t="s">
        <v>687</v>
      </c>
      <c r="AE296" s="12" t="s">
        <v>825</v>
      </c>
      <c r="AF296" s="12">
        <v>3.8</v>
      </c>
      <c r="AG296" s="6"/>
      <c r="AI296" s="4">
        <v>3</v>
      </c>
      <c r="AJ296" s="4">
        <v>4.5</v>
      </c>
      <c r="AL296" s="4" t="s">
        <v>353</v>
      </c>
      <c r="AM296" s="10" t="s">
        <v>690</v>
      </c>
      <c r="AR296" s="7">
        <v>0.5</v>
      </c>
      <c r="AS296" s="7">
        <v>0.5</v>
      </c>
      <c r="AW296" s="7">
        <v>85</v>
      </c>
      <c r="AX296" s="7">
        <v>85</v>
      </c>
      <c r="AY296" s="4">
        <v>161</v>
      </c>
      <c r="AZ296" s="4">
        <v>154</v>
      </c>
      <c r="BA296" s="4">
        <v>144</v>
      </c>
      <c r="BB296" s="4">
        <v>121</v>
      </c>
      <c r="BD296" s="4">
        <f t="shared" ref="BD296:BD301" si="159">BA296/AY296</f>
        <v>0.89440993788819878</v>
      </c>
      <c r="BE296" s="4">
        <f t="shared" ref="BE296:BE301" si="160">(AY296-BA296)/50</f>
        <v>0.34</v>
      </c>
      <c r="BG296" s="7">
        <v>1</v>
      </c>
    </row>
    <row r="297" spans="1:59" s="1" customFormat="1" ht="19.5" customHeight="1" x14ac:dyDescent="0.2">
      <c r="A297" s="1">
        <v>25</v>
      </c>
      <c r="B297" s="1" t="s">
        <v>4</v>
      </c>
      <c r="D297" s="1" t="s">
        <v>210</v>
      </c>
      <c r="F297" s="13">
        <v>3.9</v>
      </c>
      <c r="G297" s="12" t="e">
        <f t="shared" si="138"/>
        <v>#DIV/0!</v>
      </c>
      <c r="P297" s="1" t="s">
        <v>697</v>
      </c>
      <c r="Q297" s="1">
        <f>167/176</f>
        <v>0.94886363636363635</v>
      </c>
      <c r="R297" s="3"/>
      <c r="T297" s="1" t="s">
        <v>692</v>
      </c>
      <c r="V297" s="1">
        <v>1</v>
      </c>
      <c r="W297" s="1" t="s">
        <v>695</v>
      </c>
      <c r="Y297" s="1" t="s">
        <v>696</v>
      </c>
      <c r="AA297" s="1" t="s">
        <v>691</v>
      </c>
      <c r="AC297" s="1" t="s">
        <v>694</v>
      </c>
      <c r="AD297" s="5" t="s">
        <v>698</v>
      </c>
      <c r="AE297" s="13" t="s">
        <v>825</v>
      </c>
      <c r="AF297" s="13">
        <v>3.9</v>
      </c>
      <c r="AG297" s="5"/>
      <c r="AI297" s="1">
        <v>3</v>
      </c>
      <c r="AJ297" s="1">
        <v>4.4000000000000004</v>
      </c>
      <c r="AL297" s="1" t="s">
        <v>353</v>
      </c>
      <c r="AM297" s="2" t="s">
        <v>690</v>
      </c>
      <c r="AN297" s="3"/>
      <c r="AP297" s="15"/>
      <c r="AR297" s="3">
        <f>AW297/AV297</f>
        <v>0.125</v>
      </c>
      <c r="AS297" s="3">
        <v>0.13</v>
      </c>
      <c r="AT297" s="3"/>
      <c r="AU297" s="3"/>
      <c r="AV297" s="1">
        <v>160</v>
      </c>
      <c r="AW297" s="3">
        <v>20</v>
      </c>
      <c r="AX297" s="3">
        <v>20</v>
      </c>
      <c r="AY297" s="1">
        <v>172</v>
      </c>
      <c r="AZ297" s="1">
        <v>165</v>
      </c>
      <c r="BA297" s="1">
        <v>160</v>
      </c>
      <c r="BD297" s="1">
        <f t="shared" si="159"/>
        <v>0.93023255813953487</v>
      </c>
      <c r="BE297" s="1">
        <f t="shared" si="160"/>
        <v>0.24</v>
      </c>
      <c r="BG297" s="3">
        <v>0.93814432989690721</v>
      </c>
    </row>
    <row r="298" spans="1:59" ht="17.25" customHeight="1" x14ac:dyDescent="0.2">
      <c r="A298" s="4">
        <v>25</v>
      </c>
      <c r="B298" s="4" t="s">
        <v>4</v>
      </c>
      <c r="D298" s="4" t="s">
        <v>210</v>
      </c>
      <c r="F298" s="12">
        <v>3.9</v>
      </c>
      <c r="G298" s="12" t="e">
        <f t="shared" si="138"/>
        <v>#DIV/0!</v>
      </c>
      <c r="P298" s="4" t="s">
        <v>697</v>
      </c>
      <c r="Q298" s="4">
        <f>131/176</f>
        <v>0.74431818181818177</v>
      </c>
      <c r="T298" s="4" t="s">
        <v>693</v>
      </c>
      <c r="V298" s="4">
        <v>1</v>
      </c>
      <c r="W298" s="4" t="s">
        <v>695</v>
      </c>
      <c r="Y298" s="4" t="s">
        <v>696</v>
      </c>
      <c r="AA298" s="4" t="s">
        <v>691</v>
      </c>
      <c r="AC298" s="4" t="s">
        <v>694</v>
      </c>
      <c r="AD298" s="6" t="s">
        <v>698</v>
      </c>
      <c r="AE298" s="12" t="s">
        <v>825</v>
      </c>
      <c r="AF298" s="12">
        <v>3.9</v>
      </c>
      <c r="AG298" s="6"/>
      <c r="AI298" s="4">
        <v>3</v>
      </c>
      <c r="AJ298" s="4">
        <v>4.4000000000000004</v>
      </c>
      <c r="AL298" s="4" t="s">
        <v>353</v>
      </c>
      <c r="AM298" s="10" t="s">
        <v>690</v>
      </c>
      <c r="AR298" s="7">
        <v>0.13</v>
      </c>
      <c r="AS298" s="7">
        <v>0.13</v>
      </c>
      <c r="AV298" s="4">
        <v>160</v>
      </c>
      <c r="AW298" s="7">
        <v>20</v>
      </c>
      <c r="AX298" s="7">
        <v>20</v>
      </c>
      <c r="AY298" s="4">
        <v>167</v>
      </c>
      <c r="AZ298" s="4">
        <v>75</v>
      </c>
      <c r="BA298" s="4">
        <v>32</v>
      </c>
      <c r="BD298" s="4">
        <f t="shared" si="159"/>
        <v>0.19161676646706588</v>
      </c>
      <c r="BE298" s="4">
        <f t="shared" si="160"/>
        <v>2.7</v>
      </c>
      <c r="BG298" s="7">
        <f>184/197</f>
        <v>0.93401015228426398</v>
      </c>
    </row>
    <row r="299" spans="1:59" s="1" customFormat="1" ht="19.5" customHeight="1" x14ac:dyDescent="0.2">
      <c r="A299" s="1" t="s">
        <v>167</v>
      </c>
      <c r="B299" s="1" t="s">
        <v>702</v>
      </c>
      <c r="D299" s="1" t="s">
        <v>210</v>
      </c>
      <c r="F299" s="13">
        <v>4</v>
      </c>
      <c r="G299" s="12">
        <f t="shared" si="138"/>
        <v>4.0500000000000007</v>
      </c>
      <c r="H299" s="1">
        <v>4.0999999999999996</v>
      </c>
      <c r="I299" s="1">
        <v>4.2</v>
      </c>
      <c r="L299" s="1">
        <v>3.9</v>
      </c>
      <c r="M299" s="1">
        <v>4</v>
      </c>
      <c r="R299" s="3"/>
      <c r="V299" s="1">
        <v>2</v>
      </c>
      <c r="W299" s="1" t="s">
        <v>701</v>
      </c>
      <c r="AC299" s="1" t="s">
        <v>699</v>
      </c>
      <c r="AD299" s="5" t="s">
        <v>700</v>
      </c>
      <c r="AE299" s="13" t="s">
        <v>831</v>
      </c>
      <c r="AF299" s="13">
        <v>4</v>
      </c>
      <c r="AG299" s="5"/>
      <c r="AI299" s="1">
        <v>3.5</v>
      </c>
      <c r="AJ299" s="1">
        <v>4.5</v>
      </c>
      <c r="AM299" s="2"/>
      <c r="AN299" s="3"/>
      <c r="AP299" s="15">
        <v>20</v>
      </c>
      <c r="AQ299" s="1">
        <v>1</v>
      </c>
      <c r="AR299" s="3">
        <v>0.03</v>
      </c>
      <c r="AS299" s="3">
        <f>AW299/AV299</f>
        <v>2.7972027972027972E-2</v>
      </c>
      <c r="AT299" s="3"/>
      <c r="AU299" s="3"/>
      <c r="AV299" s="1">
        <v>143</v>
      </c>
      <c r="AW299" s="3">
        <v>4</v>
      </c>
      <c r="AX299" s="3">
        <v>4</v>
      </c>
      <c r="AY299" s="1">
        <v>142</v>
      </c>
      <c r="AZ299" s="1">
        <v>123</v>
      </c>
      <c r="BA299" s="1">
        <v>120</v>
      </c>
      <c r="BD299" s="1">
        <f t="shared" si="159"/>
        <v>0.84507042253521125</v>
      </c>
      <c r="BE299" s="1">
        <f t="shared" si="160"/>
        <v>0.44</v>
      </c>
      <c r="BG299" s="3">
        <f>AY299/250</f>
        <v>0.56799999999999995</v>
      </c>
    </row>
    <row r="300" spans="1:59" ht="17.25" customHeight="1" x14ac:dyDescent="0.2">
      <c r="A300" s="4" t="s">
        <v>167</v>
      </c>
      <c r="B300" s="4" t="s">
        <v>704</v>
      </c>
      <c r="C300" s="4" t="s">
        <v>706</v>
      </c>
      <c r="D300" s="4" t="s">
        <v>210</v>
      </c>
      <c r="F300" s="14">
        <v>1.5</v>
      </c>
      <c r="G300" s="14">
        <f t="shared" si="138"/>
        <v>2.7133333333333334</v>
      </c>
      <c r="H300" s="4">
        <v>2.4700000000000002</v>
      </c>
      <c r="I300" s="4">
        <v>3.27</v>
      </c>
      <c r="L300" s="4">
        <v>2.4</v>
      </c>
      <c r="V300" s="4">
        <v>2</v>
      </c>
      <c r="W300" s="4" t="s">
        <v>705</v>
      </c>
      <c r="Y300" s="4" t="s">
        <v>340</v>
      </c>
      <c r="AA300" s="4" t="s">
        <v>708</v>
      </c>
      <c r="AC300" s="4" t="s">
        <v>703</v>
      </c>
      <c r="AD300" s="6" t="s">
        <v>709</v>
      </c>
      <c r="AE300" s="12" t="s">
        <v>823</v>
      </c>
      <c r="AF300" s="12">
        <v>1.5</v>
      </c>
      <c r="AG300" s="6"/>
      <c r="AI300" s="4">
        <v>1</v>
      </c>
      <c r="AJ300" s="4">
        <v>3.5</v>
      </c>
      <c r="AL300" s="4" t="s">
        <v>353</v>
      </c>
      <c r="AM300" s="10"/>
      <c r="AP300" s="15">
        <v>2</v>
      </c>
      <c r="AQ300" s="4">
        <v>0.04</v>
      </c>
      <c r="AW300" s="7">
        <v>8.33</v>
      </c>
      <c r="AX300" s="7">
        <v>8.33</v>
      </c>
      <c r="AY300" s="4">
        <v>214</v>
      </c>
      <c r="AZ300" s="4">
        <v>126</v>
      </c>
      <c r="BA300" s="4">
        <v>81</v>
      </c>
      <c r="BD300" s="4">
        <f t="shared" si="159"/>
        <v>0.37850467289719625</v>
      </c>
      <c r="BE300" s="4">
        <f t="shared" si="160"/>
        <v>2.66</v>
      </c>
      <c r="BG300" s="7">
        <v>1</v>
      </c>
    </row>
    <row r="301" spans="1:59" s="1" customFormat="1" ht="19.5" customHeight="1" x14ac:dyDescent="0.2">
      <c r="A301" s="1" t="s">
        <v>167</v>
      </c>
      <c r="B301" s="1" t="s">
        <v>300</v>
      </c>
      <c r="C301" s="1" t="s">
        <v>630</v>
      </c>
      <c r="D301" s="1" t="s">
        <v>210</v>
      </c>
      <c r="F301" s="13">
        <v>3.5</v>
      </c>
      <c r="G301" s="12" t="e">
        <f t="shared" si="138"/>
        <v>#DIV/0!</v>
      </c>
      <c r="P301" s="1" t="s">
        <v>598</v>
      </c>
      <c r="Q301" s="1">
        <f>150/171</f>
        <v>0.8771929824561403</v>
      </c>
      <c r="R301" s="3">
        <f>17/150</f>
        <v>0.11333333333333333</v>
      </c>
      <c r="T301" s="1" t="s">
        <v>711</v>
      </c>
      <c r="V301" s="1">
        <v>1</v>
      </c>
      <c r="W301" s="1" t="s">
        <v>710</v>
      </c>
      <c r="AC301" s="1" t="s">
        <v>716</v>
      </c>
      <c r="AD301" s="5" t="s">
        <v>714</v>
      </c>
      <c r="AE301" s="13" t="s">
        <v>825</v>
      </c>
      <c r="AF301" s="13">
        <v>3.5</v>
      </c>
      <c r="AG301" s="5"/>
      <c r="AI301" s="1">
        <v>3.3</v>
      </c>
      <c r="AJ301" s="1">
        <v>4.5</v>
      </c>
      <c r="AM301" s="2"/>
      <c r="AN301" s="3"/>
      <c r="AP301" s="15">
        <v>5000</v>
      </c>
      <c r="AQ301" s="1">
        <v>5</v>
      </c>
      <c r="AR301" s="3">
        <v>2.8</v>
      </c>
      <c r="AS301" s="3">
        <v>2.8</v>
      </c>
      <c r="AT301" s="3"/>
      <c r="AU301" s="3"/>
      <c r="AV301" s="1">
        <v>180</v>
      </c>
      <c r="AW301" s="3">
        <v>500</v>
      </c>
      <c r="AX301" s="3">
        <v>500</v>
      </c>
      <c r="AY301" s="1">
        <v>151</v>
      </c>
      <c r="AZ301" s="1">
        <v>35</v>
      </c>
      <c r="BA301" s="1">
        <v>3.5</v>
      </c>
      <c r="BB301" s="1">
        <v>0</v>
      </c>
      <c r="BD301" s="1">
        <f t="shared" si="159"/>
        <v>2.3178807947019868E-2</v>
      </c>
      <c r="BE301" s="1">
        <f t="shared" si="160"/>
        <v>2.95</v>
      </c>
      <c r="BG301" s="3"/>
    </row>
    <row r="302" spans="1:59" ht="17.25" customHeight="1" x14ac:dyDescent="0.2">
      <c r="A302" s="4" t="s">
        <v>167</v>
      </c>
      <c r="B302" s="4" t="s">
        <v>300</v>
      </c>
      <c r="C302" s="4" t="s">
        <v>630</v>
      </c>
      <c r="D302" s="4" t="s">
        <v>210</v>
      </c>
      <c r="F302" s="12">
        <v>3.8</v>
      </c>
      <c r="G302" s="12" t="e">
        <f t="shared" si="138"/>
        <v>#DIV/0!</v>
      </c>
      <c r="P302" s="4" t="s">
        <v>598</v>
      </c>
      <c r="Q302" s="4">
        <f>172/178</f>
        <v>0.9662921348314607</v>
      </c>
      <c r="R302" s="7">
        <f>52/172</f>
        <v>0.30232558139534882</v>
      </c>
      <c r="T302" s="4" t="s">
        <v>713</v>
      </c>
      <c r="V302" s="4">
        <v>1</v>
      </c>
      <c r="W302" s="4" t="s">
        <v>710</v>
      </c>
      <c r="AC302" s="4" t="s">
        <v>716</v>
      </c>
      <c r="AD302" s="6" t="s">
        <v>714</v>
      </c>
      <c r="AE302" s="12" t="s">
        <v>825</v>
      </c>
      <c r="AF302" s="12">
        <v>3.8</v>
      </c>
      <c r="AG302" s="6"/>
      <c r="AI302" s="4">
        <v>3.3</v>
      </c>
      <c r="AJ302" s="4">
        <v>4.5</v>
      </c>
      <c r="AM302" s="10"/>
      <c r="AP302" s="15">
        <v>400</v>
      </c>
      <c r="AQ302" s="4">
        <v>0.4</v>
      </c>
      <c r="AR302" s="7">
        <v>2.8</v>
      </c>
      <c r="AS302" s="7">
        <v>2.8</v>
      </c>
      <c r="AV302" s="4">
        <v>180</v>
      </c>
      <c r="AW302" s="7">
        <v>500</v>
      </c>
      <c r="AX302" s="7">
        <v>500</v>
      </c>
      <c r="AY302" s="4">
        <v>165</v>
      </c>
      <c r="AZ302" s="4">
        <v>144</v>
      </c>
      <c r="BA302" s="4">
        <v>126</v>
      </c>
      <c r="BB302" s="4">
        <v>95</v>
      </c>
      <c r="BD302" s="4">
        <f t="shared" ref="BD302" si="161">BA302/AY302</f>
        <v>0.76363636363636367</v>
      </c>
      <c r="BE302" s="4">
        <f t="shared" ref="BE302" si="162">(AY302-BA302)/50</f>
        <v>0.78</v>
      </c>
    </row>
    <row r="303" spans="1:59" s="1" customFormat="1" ht="19.5" customHeight="1" x14ac:dyDescent="0.2">
      <c r="A303" s="1" t="s">
        <v>167</v>
      </c>
      <c r="B303" s="1" t="s">
        <v>300</v>
      </c>
      <c r="C303" s="1" t="s">
        <v>630</v>
      </c>
      <c r="D303" s="1" t="s">
        <v>210</v>
      </c>
      <c r="F303" s="13">
        <v>3.8</v>
      </c>
      <c r="G303" s="12" t="e">
        <f t="shared" si="138"/>
        <v>#DIV/0!</v>
      </c>
      <c r="P303" s="1" t="s">
        <v>598</v>
      </c>
      <c r="Q303" s="1">
        <f>175/178</f>
        <v>0.9831460674157303</v>
      </c>
      <c r="R303" s="3">
        <f>133/175</f>
        <v>0.76</v>
      </c>
      <c r="T303" s="1" t="s">
        <v>712</v>
      </c>
      <c r="V303" s="1">
        <v>1</v>
      </c>
      <c r="W303" s="1" t="s">
        <v>710</v>
      </c>
      <c r="AC303" s="1" t="s">
        <v>716</v>
      </c>
      <c r="AD303" s="5" t="s">
        <v>714</v>
      </c>
      <c r="AE303" s="13" t="s">
        <v>825</v>
      </c>
      <c r="AF303" s="13">
        <v>3.8</v>
      </c>
      <c r="AG303" s="5"/>
      <c r="AI303" s="1">
        <v>3.3</v>
      </c>
      <c r="AJ303" s="1">
        <v>4.5</v>
      </c>
      <c r="AM303" s="2"/>
      <c r="AN303" s="3"/>
      <c r="AP303" s="15">
        <v>400</v>
      </c>
      <c r="AQ303" s="1">
        <v>0.4</v>
      </c>
      <c r="AR303" s="3">
        <v>2.8</v>
      </c>
      <c r="AS303" s="3">
        <v>2.8</v>
      </c>
      <c r="AT303" s="3"/>
      <c r="AU303" s="3"/>
      <c r="AV303" s="1">
        <v>180</v>
      </c>
      <c r="AW303" s="3">
        <v>500</v>
      </c>
      <c r="AX303" s="3">
        <v>500</v>
      </c>
      <c r="AY303" s="1">
        <v>149</v>
      </c>
      <c r="AZ303" s="1">
        <v>157</v>
      </c>
      <c r="BA303" s="1">
        <v>160</v>
      </c>
      <c r="BB303" s="1">
        <v>157</v>
      </c>
      <c r="BD303" s="1">
        <f t="shared" ref="BD303:BD306" si="163">BA303/AY303</f>
        <v>1.0738255033557047</v>
      </c>
      <c r="BE303" s="1">
        <f t="shared" ref="BE303:BE306" si="164">(AY303-BA303)/50</f>
        <v>-0.22</v>
      </c>
      <c r="BG303" s="3"/>
    </row>
    <row r="304" spans="1:59" ht="17.25" customHeight="1" x14ac:dyDescent="0.2">
      <c r="A304" s="4" t="s">
        <v>167</v>
      </c>
      <c r="B304" s="4" t="s">
        <v>720</v>
      </c>
      <c r="C304" s="4" t="s">
        <v>674</v>
      </c>
      <c r="D304" s="4" t="s">
        <v>210</v>
      </c>
      <c r="F304" s="12"/>
      <c r="G304" s="12" t="e">
        <f t="shared" si="138"/>
        <v>#DIV/0!</v>
      </c>
      <c r="P304" s="4" t="s">
        <v>598</v>
      </c>
      <c r="Q304" s="4">
        <f>253/292</f>
        <v>0.86643835616438358</v>
      </c>
      <c r="V304" s="4">
        <v>2</v>
      </c>
      <c r="W304" s="4" t="s">
        <v>721</v>
      </c>
      <c r="Y304" s="4" t="s">
        <v>15</v>
      </c>
      <c r="AA304" s="4" t="s">
        <v>719</v>
      </c>
      <c r="AC304" s="4" t="s">
        <v>715</v>
      </c>
      <c r="AD304" s="6" t="s">
        <v>717</v>
      </c>
      <c r="AE304" s="12" t="s">
        <v>825</v>
      </c>
      <c r="AF304" s="12"/>
      <c r="AG304" s="6"/>
      <c r="AI304" s="4">
        <v>2</v>
      </c>
      <c r="AJ304" s="4">
        <v>4.8</v>
      </c>
      <c r="AL304" s="4" t="s">
        <v>718</v>
      </c>
      <c r="AM304" s="10"/>
      <c r="AP304" s="15">
        <v>50</v>
      </c>
      <c r="AQ304" s="4">
        <v>0.15</v>
      </c>
      <c r="AR304" s="7">
        <v>1</v>
      </c>
      <c r="AS304" s="7">
        <v>1</v>
      </c>
      <c r="AT304" s="7">
        <v>106.83</v>
      </c>
      <c r="AU304" s="7">
        <f>96485.3/3600/AT304</f>
        <v>0.25087964263055529</v>
      </c>
      <c r="AV304" s="4">
        <v>250</v>
      </c>
      <c r="AW304" s="7">
        <f t="shared" ref="AW304:AW305" si="165">AV304*AR304</f>
        <v>250</v>
      </c>
      <c r="AX304" s="7">
        <f t="shared" ref="AX304:AX305" si="166">AR304*AV304</f>
        <v>250</v>
      </c>
      <c r="AY304" s="4">
        <v>288</v>
      </c>
      <c r="AZ304" s="4">
        <v>237</v>
      </c>
      <c r="BA304" s="4">
        <v>223</v>
      </c>
      <c r="BB304" s="4">
        <v>199</v>
      </c>
      <c r="BD304" s="4">
        <f t="shared" si="163"/>
        <v>0.77430555555555558</v>
      </c>
      <c r="BE304" s="4">
        <f t="shared" si="164"/>
        <v>1.3</v>
      </c>
    </row>
    <row r="305" spans="1:59" s="1" customFormat="1" ht="19.5" customHeight="1" x14ac:dyDescent="0.2">
      <c r="A305" s="1" t="s">
        <v>167</v>
      </c>
      <c r="B305" s="1" t="s">
        <v>720</v>
      </c>
      <c r="C305" s="1" t="s">
        <v>674</v>
      </c>
      <c r="D305" s="1" t="s">
        <v>210</v>
      </c>
      <c r="F305" s="13"/>
      <c r="G305" s="12" t="e">
        <f t="shared" si="138"/>
        <v>#DIV/0!</v>
      </c>
      <c r="P305" s="1" t="s">
        <v>598</v>
      </c>
      <c r="Q305" s="1">
        <f>176/242</f>
        <v>0.72727272727272729</v>
      </c>
      <c r="R305" s="3"/>
      <c r="V305" s="1">
        <v>2</v>
      </c>
      <c r="W305" s="1" t="s">
        <v>722</v>
      </c>
      <c r="Y305" s="1" t="s">
        <v>15</v>
      </c>
      <c r="AA305" s="1" t="s">
        <v>719</v>
      </c>
      <c r="AC305" s="1" t="s">
        <v>715</v>
      </c>
      <c r="AD305" s="5" t="s">
        <v>717</v>
      </c>
      <c r="AE305" s="13" t="s">
        <v>825</v>
      </c>
      <c r="AF305" s="13"/>
      <c r="AG305" s="5"/>
      <c r="AI305" s="1">
        <v>2</v>
      </c>
      <c r="AJ305" s="1">
        <v>4.8</v>
      </c>
      <c r="AL305" s="1" t="s">
        <v>718</v>
      </c>
      <c r="AM305" s="2"/>
      <c r="AN305" s="3"/>
      <c r="AP305" s="15">
        <v>50</v>
      </c>
      <c r="AQ305" s="1">
        <v>0.15</v>
      </c>
      <c r="AR305" s="3">
        <v>1</v>
      </c>
      <c r="AS305" s="3">
        <v>1</v>
      </c>
      <c r="AT305" s="3">
        <v>106.83</v>
      </c>
      <c r="AU305" s="3">
        <f>96485.3/3600/AT305</f>
        <v>0.25087964263055529</v>
      </c>
      <c r="AV305" s="1">
        <v>250</v>
      </c>
      <c r="AW305" s="3">
        <f t="shared" si="165"/>
        <v>250</v>
      </c>
      <c r="AX305" s="3">
        <f t="shared" si="166"/>
        <v>250</v>
      </c>
      <c r="AY305" s="1">
        <v>164</v>
      </c>
      <c r="AZ305" s="1">
        <v>176</v>
      </c>
      <c r="BA305" s="1">
        <v>172</v>
      </c>
      <c r="BB305" s="1">
        <v>166</v>
      </c>
      <c r="BD305" s="1">
        <f t="shared" si="163"/>
        <v>1.0487804878048781</v>
      </c>
      <c r="BE305" s="1">
        <f t="shared" si="164"/>
        <v>-0.16</v>
      </c>
      <c r="BG305" s="3"/>
    </row>
    <row r="306" spans="1:59" ht="17.25" customHeight="1" x14ac:dyDescent="0.2">
      <c r="A306" s="4" t="s">
        <v>167</v>
      </c>
      <c r="B306" s="4" t="s">
        <v>300</v>
      </c>
      <c r="C306" s="4" t="s">
        <v>726</v>
      </c>
      <c r="D306" s="4" t="s">
        <v>210</v>
      </c>
      <c r="F306" s="12"/>
      <c r="G306" s="12" t="e">
        <f t="shared" si="138"/>
        <v>#DIV/0!</v>
      </c>
      <c r="T306" s="4" t="s">
        <v>804</v>
      </c>
      <c r="V306" s="4">
        <v>1</v>
      </c>
      <c r="W306" s="4" t="s">
        <v>723</v>
      </c>
      <c r="Y306" s="4" t="s">
        <v>15</v>
      </c>
      <c r="AA306" s="4" t="s">
        <v>728</v>
      </c>
      <c r="AC306" s="4" t="s">
        <v>724</v>
      </c>
      <c r="AD306" s="6" t="s">
        <v>725</v>
      </c>
      <c r="AE306" s="12" t="s">
        <v>830</v>
      </c>
      <c r="AF306" s="12"/>
      <c r="AG306" s="6"/>
      <c r="AI306" s="4">
        <v>3.5</v>
      </c>
      <c r="AJ306" s="4">
        <v>4.25</v>
      </c>
      <c r="AM306" s="10" t="s">
        <v>727</v>
      </c>
      <c r="AP306" s="15">
        <v>200</v>
      </c>
      <c r="AQ306" s="4">
        <v>0.2</v>
      </c>
      <c r="AV306" s="4">
        <v>274</v>
      </c>
      <c r="AW306" s="7">
        <v>50</v>
      </c>
      <c r="AX306" s="7">
        <v>50</v>
      </c>
      <c r="AY306" s="4">
        <v>145</v>
      </c>
      <c r="AZ306" s="4">
        <v>133</v>
      </c>
      <c r="BA306" s="4">
        <v>125</v>
      </c>
      <c r="BD306" s="4">
        <f t="shared" si="163"/>
        <v>0.86206896551724133</v>
      </c>
      <c r="BE306" s="4">
        <f t="shared" si="164"/>
        <v>0.4</v>
      </c>
      <c r="BG306" s="7">
        <v>0.92</v>
      </c>
    </row>
    <row r="307" spans="1:59" s="1" customFormat="1" ht="19.5" customHeight="1" x14ac:dyDescent="0.2">
      <c r="A307" s="1" t="s">
        <v>167</v>
      </c>
      <c r="B307" s="1" t="s">
        <v>300</v>
      </c>
      <c r="C307" s="1" t="s">
        <v>726</v>
      </c>
      <c r="D307" s="1" t="s">
        <v>210</v>
      </c>
      <c r="F307" s="13"/>
      <c r="G307" s="12" t="e">
        <f t="shared" si="138"/>
        <v>#DIV/0!</v>
      </c>
      <c r="R307" s="3"/>
      <c r="T307" s="1" t="s">
        <v>805</v>
      </c>
      <c r="V307" s="1">
        <v>1</v>
      </c>
      <c r="W307" s="1" t="s">
        <v>427</v>
      </c>
      <c r="Y307" s="1" t="s">
        <v>15</v>
      </c>
      <c r="AA307" s="1" t="s">
        <v>728</v>
      </c>
      <c r="AC307" s="1" t="s">
        <v>724</v>
      </c>
      <c r="AD307" s="5" t="s">
        <v>725</v>
      </c>
      <c r="AE307" s="13" t="s">
        <v>830</v>
      </c>
      <c r="AF307" s="13"/>
      <c r="AG307" s="5"/>
      <c r="AI307" s="1">
        <v>3.5</v>
      </c>
      <c r="AJ307" s="1">
        <v>4.25</v>
      </c>
      <c r="AM307" s="2" t="s">
        <v>727</v>
      </c>
      <c r="AN307" s="3"/>
      <c r="AP307" s="15">
        <v>8000</v>
      </c>
      <c r="AQ307" s="1">
        <v>12</v>
      </c>
      <c r="AR307" s="3"/>
      <c r="AS307" s="3"/>
      <c r="AT307" s="3"/>
      <c r="AU307" s="3"/>
      <c r="AV307" s="1">
        <v>274</v>
      </c>
      <c r="AW307" s="3">
        <v>50</v>
      </c>
      <c r="AX307" s="3">
        <v>50</v>
      </c>
      <c r="AY307" s="1">
        <v>135</v>
      </c>
      <c r="AZ307" s="1">
        <v>123</v>
      </c>
      <c r="BA307" s="1">
        <v>104</v>
      </c>
      <c r="BD307" s="1">
        <f t="shared" ref="BD307:BD308" si="167">BA307/AY307</f>
        <v>0.77037037037037037</v>
      </c>
      <c r="BE307" s="1">
        <f t="shared" ref="BE307:BE308" si="168">(AY307-BA307)/50</f>
        <v>0.62</v>
      </c>
      <c r="BG307" s="3">
        <v>0.94</v>
      </c>
    </row>
    <row r="308" spans="1:59" ht="17.25" customHeight="1" x14ac:dyDescent="0.2">
      <c r="A308" s="4" t="s">
        <v>167</v>
      </c>
      <c r="B308" s="4" t="s">
        <v>300</v>
      </c>
      <c r="C308" s="4" t="s">
        <v>726</v>
      </c>
      <c r="D308" s="4" t="s">
        <v>210</v>
      </c>
      <c r="F308" s="12"/>
      <c r="G308" s="12" t="e">
        <f t="shared" si="138"/>
        <v>#DIV/0!</v>
      </c>
      <c r="T308" s="4" t="s">
        <v>804</v>
      </c>
      <c r="V308" s="4">
        <v>1</v>
      </c>
      <c r="W308" s="4" t="s">
        <v>723</v>
      </c>
      <c r="Y308" s="4" t="s">
        <v>15</v>
      </c>
      <c r="AA308" s="4" t="s">
        <v>728</v>
      </c>
      <c r="AC308" s="4" t="s">
        <v>724</v>
      </c>
      <c r="AD308" s="6" t="s">
        <v>725</v>
      </c>
      <c r="AE308" s="12" t="s">
        <v>830</v>
      </c>
      <c r="AF308" s="12"/>
      <c r="AG308" s="6"/>
      <c r="AI308" s="4">
        <v>3.5</v>
      </c>
      <c r="AJ308" s="4">
        <v>4.5</v>
      </c>
      <c r="AM308" s="10" t="s">
        <v>727</v>
      </c>
      <c r="AP308" s="15">
        <v>200</v>
      </c>
      <c r="AQ308" s="4">
        <v>0.2</v>
      </c>
      <c r="AS308" s="7">
        <f>AW308/AV308</f>
        <v>0.18248175182481752</v>
      </c>
      <c r="AV308" s="4">
        <v>274</v>
      </c>
      <c r="AW308" s="7">
        <v>50</v>
      </c>
      <c r="AX308" s="7">
        <v>50</v>
      </c>
      <c r="AY308" s="4">
        <v>177</v>
      </c>
      <c r="AZ308" s="4">
        <v>159</v>
      </c>
      <c r="BA308" s="4">
        <v>152</v>
      </c>
      <c r="BD308" s="4">
        <f t="shared" si="167"/>
        <v>0.85875706214689262</v>
      </c>
      <c r="BE308" s="4">
        <f t="shared" si="168"/>
        <v>0.5</v>
      </c>
      <c r="BG308" s="7">
        <v>0.91</v>
      </c>
    </row>
    <row r="309" spans="1:59" s="1" customFormat="1" ht="19.5" customHeight="1" x14ac:dyDescent="0.2">
      <c r="A309" s="1" t="s">
        <v>167</v>
      </c>
      <c r="B309" s="1" t="s">
        <v>300</v>
      </c>
      <c r="C309" s="1" t="s">
        <v>726</v>
      </c>
      <c r="D309" s="1" t="s">
        <v>210</v>
      </c>
      <c r="F309" s="13"/>
      <c r="G309" s="12" t="e">
        <f t="shared" si="138"/>
        <v>#DIV/0!</v>
      </c>
      <c r="R309" s="3"/>
      <c r="T309" s="1" t="s">
        <v>805</v>
      </c>
      <c r="V309" s="1">
        <v>1</v>
      </c>
      <c r="W309" s="1" t="s">
        <v>427</v>
      </c>
      <c r="Y309" s="1" t="s">
        <v>15</v>
      </c>
      <c r="AA309" s="1" t="s">
        <v>728</v>
      </c>
      <c r="AC309" s="1" t="s">
        <v>724</v>
      </c>
      <c r="AD309" s="5" t="s">
        <v>725</v>
      </c>
      <c r="AE309" s="13" t="s">
        <v>830</v>
      </c>
      <c r="AF309" s="13"/>
      <c r="AG309" s="5"/>
      <c r="AI309" s="1">
        <v>3.5</v>
      </c>
      <c r="AJ309" s="1">
        <v>4.5</v>
      </c>
      <c r="AM309" s="2" t="s">
        <v>727</v>
      </c>
      <c r="AN309" s="3"/>
      <c r="AP309" s="15">
        <v>8000</v>
      </c>
      <c r="AQ309" s="1">
        <v>12</v>
      </c>
      <c r="AR309" s="3"/>
      <c r="AS309" s="3"/>
      <c r="AT309" s="3"/>
      <c r="AU309" s="3"/>
      <c r="AV309" s="1">
        <v>274</v>
      </c>
      <c r="AW309" s="3">
        <v>50</v>
      </c>
      <c r="AX309" s="3">
        <v>50</v>
      </c>
      <c r="AY309" s="1">
        <v>168</v>
      </c>
      <c r="AZ309" s="1">
        <v>119</v>
      </c>
      <c r="BA309" s="1">
        <v>88</v>
      </c>
      <c r="BD309" s="1">
        <f t="shared" ref="BD309:BD310" si="169">BA309/AY309</f>
        <v>0.52380952380952384</v>
      </c>
      <c r="BE309" s="1">
        <f t="shared" ref="BE309:BE310" si="170">(AY309-BA309)/50</f>
        <v>1.6</v>
      </c>
      <c r="BG309" s="3">
        <v>0.93</v>
      </c>
    </row>
    <row r="310" spans="1:59" ht="17.25" customHeight="1" x14ac:dyDescent="0.2">
      <c r="A310" s="4" t="s">
        <v>167</v>
      </c>
      <c r="B310" s="4" t="s">
        <v>300</v>
      </c>
      <c r="C310" s="4" t="s">
        <v>730</v>
      </c>
      <c r="D310" s="4" t="s">
        <v>210</v>
      </c>
      <c r="F310" s="12">
        <v>3.85</v>
      </c>
      <c r="G310" s="12" t="e">
        <f t="shared" si="138"/>
        <v>#DIV/0!</v>
      </c>
      <c r="Q310" s="4">
        <f>150/157</f>
        <v>0.95541401273885351</v>
      </c>
      <c r="T310" s="4" t="s">
        <v>729</v>
      </c>
      <c r="V310" s="4">
        <v>1</v>
      </c>
      <c r="W310" s="4" t="s">
        <v>34</v>
      </c>
      <c r="Y310" s="4" t="s">
        <v>82</v>
      </c>
      <c r="AA310" s="4" t="s">
        <v>732</v>
      </c>
      <c r="AC310" s="4" t="s">
        <v>733</v>
      </c>
      <c r="AD310" s="6" t="s">
        <v>734</v>
      </c>
      <c r="AE310" s="12"/>
      <c r="AF310" s="12">
        <v>3.85</v>
      </c>
      <c r="AG310" s="6"/>
      <c r="AI310" s="4">
        <v>3</v>
      </c>
      <c r="AJ310" s="4">
        <v>4.4000000000000004</v>
      </c>
      <c r="AL310" s="4" t="s">
        <v>731</v>
      </c>
      <c r="AM310" s="10"/>
      <c r="AR310" s="7">
        <v>0.5</v>
      </c>
      <c r="AS310" s="7">
        <v>0.5</v>
      </c>
      <c r="AV310" s="4">
        <v>274</v>
      </c>
      <c r="AW310" s="7">
        <f t="shared" ref="AW310" si="171">AV310*AR310</f>
        <v>137</v>
      </c>
      <c r="AX310" s="7">
        <f t="shared" ref="AX310" si="172">AR310*AV310</f>
        <v>137</v>
      </c>
      <c r="AY310" s="4">
        <v>156</v>
      </c>
      <c r="AZ310" s="4">
        <v>145</v>
      </c>
      <c r="BA310" s="4">
        <v>133</v>
      </c>
      <c r="BD310" s="4">
        <f t="shared" si="169"/>
        <v>0.85256410256410253</v>
      </c>
      <c r="BE310" s="4">
        <f t="shared" si="170"/>
        <v>0.46</v>
      </c>
    </row>
    <row r="311" spans="1:59" s="1" customFormat="1" ht="19.5" customHeight="1" x14ac:dyDescent="0.2">
      <c r="A311" s="1" t="s">
        <v>167</v>
      </c>
      <c r="B311" s="1" t="s">
        <v>300</v>
      </c>
      <c r="C311" s="1" t="s">
        <v>730</v>
      </c>
      <c r="D311" s="1" t="s">
        <v>210</v>
      </c>
      <c r="F311" s="13">
        <v>3.85</v>
      </c>
      <c r="G311" s="12" t="e">
        <f t="shared" si="138"/>
        <v>#DIV/0!</v>
      </c>
      <c r="Q311" s="1">
        <f>147/157</f>
        <v>0.93630573248407645</v>
      </c>
      <c r="R311" s="3"/>
      <c r="T311" s="1" t="s">
        <v>693</v>
      </c>
      <c r="V311" s="1">
        <v>1</v>
      </c>
      <c r="W311" s="1" t="s">
        <v>34</v>
      </c>
      <c r="Y311" s="1" t="s">
        <v>82</v>
      </c>
      <c r="AA311" s="1" t="s">
        <v>732</v>
      </c>
      <c r="AC311" s="1" t="s">
        <v>733</v>
      </c>
      <c r="AD311" s="5" t="s">
        <v>734</v>
      </c>
      <c r="AE311" s="13"/>
      <c r="AF311" s="13">
        <v>3.85</v>
      </c>
      <c r="AG311" s="5"/>
      <c r="AI311" s="1">
        <v>3</v>
      </c>
      <c r="AJ311" s="1">
        <v>4.4000000000000004</v>
      </c>
      <c r="AL311" s="1" t="s">
        <v>731</v>
      </c>
      <c r="AM311" s="2"/>
      <c r="AN311" s="3"/>
      <c r="AP311" s="15"/>
      <c r="AR311" s="3">
        <v>0.5</v>
      </c>
      <c r="AS311" s="3">
        <v>0.5</v>
      </c>
      <c r="AT311" s="3"/>
      <c r="AU311" s="3"/>
      <c r="AV311" s="1">
        <v>274</v>
      </c>
      <c r="AW311" s="3">
        <f t="shared" ref="AW311:AW315" si="173">AV311*AR311</f>
        <v>137</v>
      </c>
      <c r="AX311" s="3">
        <f t="shared" ref="AX311:AX315" si="174">AR311*AV311</f>
        <v>137</v>
      </c>
      <c r="AY311" s="1">
        <v>157</v>
      </c>
      <c r="AZ311" s="1">
        <v>126</v>
      </c>
      <c r="BA311" s="1">
        <v>132</v>
      </c>
      <c r="BD311" s="1">
        <f t="shared" ref="BD311:BD314" si="175">BA311/AY311</f>
        <v>0.84076433121019112</v>
      </c>
      <c r="BE311" s="1">
        <f t="shared" ref="BE311:BE314" si="176">(AY311-BA311)/50</f>
        <v>0.5</v>
      </c>
      <c r="BG311" s="3"/>
    </row>
    <row r="312" spans="1:59" ht="17.25" customHeight="1" x14ac:dyDescent="0.2">
      <c r="A312" s="4" t="s">
        <v>167</v>
      </c>
      <c r="B312" s="4" t="s">
        <v>300</v>
      </c>
      <c r="C312" s="4" t="s">
        <v>730</v>
      </c>
      <c r="D312" s="4" t="s">
        <v>210</v>
      </c>
      <c r="F312" s="12">
        <v>3.85</v>
      </c>
      <c r="G312" s="12" t="e">
        <f t="shared" si="138"/>
        <v>#DIV/0!</v>
      </c>
      <c r="P312" s="4" t="s">
        <v>735</v>
      </c>
      <c r="Q312" s="4">
        <f>151/181</f>
        <v>0.83425414364640882</v>
      </c>
      <c r="T312" s="4" t="s">
        <v>729</v>
      </c>
      <c r="V312" s="4">
        <v>1</v>
      </c>
      <c r="W312" s="4" t="s">
        <v>34</v>
      </c>
      <c r="Y312" s="4" t="s">
        <v>82</v>
      </c>
      <c r="AA312" s="4" t="s">
        <v>732</v>
      </c>
      <c r="AC312" s="4" t="s">
        <v>733</v>
      </c>
      <c r="AD312" s="6" t="s">
        <v>734</v>
      </c>
      <c r="AE312" s="12"/>
      <c r="AF312" s="12">
        <v>3.85</v>
      </c>
      <c r="AG312" s="6"/>
      <c r="AI312" s="4">
        <v>3</v>
      </c>
      <c r="AJ312" s="4">
        <v>4.5</v>
      </c>
      <c r="AL312" s="4" t="s">
        <v>731</v>
      </c>
      <c r="AM312" s="10"/>
      <c r="AR312" s="7">
        <v>0.5</v>
      </c>
      <c r="AS312" s="7">
        <v>0.5</v>
      </c>
      <c r="AV312" s="4">
        <v>274</v>
      </c>
      <c r="AW312" s="7">
        <f t="shared" si="173"/>
        <v>137</v>
      </c>
      <c r="AX312" s="7">
        <f t="shared" si="174"/>
        <v>137</v>
      </c>
      <c r="AY312" s="4">
        <v>185</v>
      </c>
      <c r="AZ312" s="4">
        <v>150</v>
      </c>
      <c r="BA312" s="4">
        <v>135</v>
      </c>
      <c r="BD312" s="4">
        <f t="shared" si="175"/>
        <v>0.72972972972972971</v>
      </c>
      <c r="BE312" s="4">
        <f t="shared" si="176"/>
        <v>1</v>
      </c>
    </row>
    <row r="313" spans="1:59" s="1" customFormat="1" ht="19.5" customHeight="1" x14ac:dyDescent="0.2">
      <c r="A313" s="1" t="s">
        <v>167</v>
      </c>
      <c r="B313" s="1" t="s">
        <v>300</v>
      </c>
      <c r="C313" s="1" t="s">
        <v>730</v>
      </c>
      <c r="D313" s="1" t="s">
        <v>210</v>
      </c>
      <c r="F313" s="13">
        <v>3.85</v>
      </c>
      <c r="G313" s="12" t="e">
        <f t="shared" si="138"/>
        <v>#DIV/0!</v>
      </c>
      <c r="P313" s="1" t="s">
        <v>735</v>
      </c>
      <c r="Q313" s="1">
        <f>153/183</f>
        <v>0.83606557377049184</v>
      </c>
      <c r="R313" s="3"/>
      <c r="T313" s="1" t="s">
        <v>693</v>
      </c>
      <c r="V313" s="1">
        <v>1</v>
      </c>
      <c r="W313" s="1" t="s">
        <v>34</v>
      </c>
      <c r="Y313" s="1" t="s">
        <v>82</v>
      </c>
      <c r="AA313" s="1" t="s">
        <v>732</v>
      </c>
      <c r="AC313" s="1" t="s">
        <v>733</v>
      </c>
      <c r="AD313" s="5" t="s">
        <v>734</v>
      </c>
      <c r="AE313" s="13"/>
      <c r="AF313" s="13">
        <v>3.85</v>
      </c>
      <c r="AG313" s="5"/>
      <c r="AI313" s="1">
        <v>3</v>
      </c>
      <c r="AJ313" s="1">
        <v>4.5</v>
      </c>
      <c r="AL313" s="1" t="s">
        <v>731</v>
      </c>
      <c r="AM313" s="2"/>
      <c r="AN313" s="3"/>
      <c r="AP313" s="15"/>
      <c r="AR313" s="3">
        <v>0.5</v>
      </c>
      <c r="AS313" s="3">
        <v>0.5</v>
      </c>
      <c r="AT313" s="3"/>
      <c r="AU313" s="3"/>
      <c r="AV313" s="1">
        <v>274</v>
      </c>
      <c r="AW313" s="3">
        <f t="shared" si="173"/>
        <v>137</v>
      </c>
      <c r="AX313" s="3">
        <f t="shared" si="174"/>
        <v>137</v>
      </c>
      <c r="AY313" s="1">
        <v>188</v>
      </c>
      <c r="AZ313" s="1">
        <v>139</v>
      </c>
      <c r="BA313" s="1">
        <v>99</v>
      </c>
      <c r="BD313" s="1">
        <f t="shared" si="175"/>
        <v>0.52659574468085102</v>
      </c>
      <c r="BE313" s="1">
        <f t="shared" si="176"/>
        <v>1.78</v>
      </c>
      <c r="BG313" s="3"/>
    </row>
    <row r="314" spans="1:59" ht="17.25" customHeight="1" x14ac:dyDescent="0.2">
      <c r="A314" s="4" t="s">
        <v>167</v>
      </c>
      <c r="B314" s="4" t="s">
        <v>300</v>
      </c>
      <c r="C314" s="4" t="s">
        <v>730</v>
      </c>
      <c r="D314" s="4" t="s">
        <v>210</v>
      </c>
      <c r="F314" s="12">
        <v>3.9</v>
      </c>
      <c r="G314" s="12" t="e">
        <f t="shared" si="138"/>
        <v>#DIV/0!</v>
      </c>
      <c r="Q314" s="4">
        <f>124/187</f>
        <v>0.66310160427807485</v>
      </c>
      <c r="T314" s="4" t="s">
        <v>729</v>
      </c>
      <c r="V314" s="4">
        <v>1</v>
      </c>
      <c r="W314" s="4" t="s">
        <v>34</v>
      </c>
      <c r="Y314" s="4" t="s">
        <v>82</v>
      </c>
      <c r="AA314" s="4" t="s">
        <v>732</v>
      </c>
      <c r="AC314" s="4" t="s">
        <v>733</v>
      </c>
      <c r="AD314" s="6" t="s">
        <v>734</v>
      </c>
      <c r="AE314" s="12"/>
      <c r="AF314" s="12">
        <v>3.9</v>
      </c>
      <c r="AG314" s="6"/>
      <c r="AI314" s="4">
        <v>3</v>
      </c>
      <c r="AJ314" s="4">
        <v>4.5999999999999996</v>
      </c>
      <c r="AL314" s="4" t="s">
        <v>731</v>
      </c>
      <c r="AM314" s="10"/>
      <c r="AR314" s="7">
        <v>0.5</v>
      </c>
      <c r="AS314" s="7">
        <v>0.5</v>
      </c>
      <c r="AV314" s="4">
        <v>274</v>
      </c>
      <c r="AW314" s="7">
        <f t="shared" si="173"/>
        <v>137</v>
      </c>
      <c r="AX314" s="7">
        <f t="shared" si="174"/>
        <v>137</v>
      </c>
      <c r="AY314" s="4">
        <v>199</v>
      </c>
      <c r="AZ314" s="4">
        <v>147</v>
      </c>
      <c r="BA314" s="4">
        <v>126</v>
      </c>
      <c r="BD314" s="4">
        <f t="shared" si="175"/>
        <v>0.63316582914572861</v>
      </c>
      <c r="BE314" s="4">
        <f t="shared" si="176"/>
        <v>1.46</v>
      </c>
    </row>
    <row r="315" spans="1:59" s="1" customFormat="1" ht="19.5" customHeight="1" x14ac:dyDescent="0.2">
      <c r="A315" s="1" t="s">
        <v>167</v>
      </c>
      <c r="B315" s="1" t="s">
        <v>300</v>
      </c>
      <c r="C315" s="1" t="s">
        <v>730</v>
      </c>
      <c r="D315" s="1" t="s">
        <v>210</v>
      </c>
      <c r="F315" s="13">
        <v>3.9</v>
      </c>
      <c r="G315" s="12" t="e">
        <f t="shared" si="138"/>
        <v>#DIV/0!</v>
      </c>
      <c r="Q315" s="1">
        <f>120/182</f>
        <v>0.65934065934065933</v>
      </c>
      <c r="R315" s="3"/>
      <c r="T315" s="1" t="s">
        <v>693</v>
      </c>
      <c r="V315" s="1">
        <v>1</v>
      </c>
      <c r="W315" s="1" t="s">
        <v>34</v>
      </c>
      <c r="Y315" s="1" t="s">
        <v>82</v>
      </c>
      <c r="AA315" s="1" t="s">
        <v>732</v>
      </c>
      <c r="AC315" s="1" t="s">
        <v>733</v>
      </c>
      <c r="AD315" s="5" t="s">
        <v>734</v>
      </c>
      <c r="AE315" s="13"/>
      <c r="AF315" s="13">
        <v>3.9</v>
      </c>
      <c r="AG315" s="5"/>
      <c r="AI315" s="1">
        <v>3</v>
      </c>
      <c r="AJ315" s="1">
        <v>4.5999999999999996</v>
      </c>
      <c r="AL315" s="1" t="s">
        <v>731</v>
      </c>
      <c r="AM315" s="2"/>
      <c r="AN315" s="3"/>
      <c r="AP315" s="15"/>
      <c r="AR315" s="3">
        <v>0.5</v>
      </c>
      <c r="AS315" s="3">
        <v>0.5</v>
      </c>
      <c r="AT315" s="3"/>
      <c r="AU315" s="3"/>
      <c r="AV315" s="1">
        <v>274</v>
      </c>
      <c r="AW315" s="3">
        <f t="shared" si="173"/>
        <v>137</v>
      </c>
      <c r="AX315" s="3">
        <f t="shared" si="174"/>
        <v>137</v>
      </c>
      <c r="AY315" s="1">
        <v>199</v>
      </c>
      <c r="AZ315" s="1">
        <v>120</v>
      </c>
      <c r="BA315" s="1">
        <v>88</v>
      </c>
      <c r="BD315" s="1">
        <f t="shared" ref="BD315:BD316" si="177">BA315/AY315</f>
        <v>0.44221105527638194</v>
      </c>
      <c r="BE315" s="1">
        <f t="shared" ref="BE315:BE316" si="178">(AY315-BA315)/50</f>
        <v>2.2200000000000002</v>
      </c>
      <c r="BG315" s="3"/>
    </row>
    <row r="316" spans="1:59" ht="17.25" customHeight="1" x14ac:dyDescent="0.2">
      <c r="A316" s="4">
        <v>30</v>
      </c>
      <c r="B316" s="4" t="s">
        <v>93</v>
      </c>
      <c r="C316" s="4" t="s">
        <v>736</v>
      </c>
      <c r="D316" s="4" t="s">
        <v>210</v>
      </c>
      <c r="F316" s="12">
        <v>3.2</v>
      </c>
      <c r="G316" s="12">
        <f t="shared" si="138"/>
        <v>3.3</v>
      </c>
      <c r="H316" s="4">
        <v>3.4</v>
      </c>
      <c r="L316" s="4">
        <v>3.2</v>
      </c>
      <c r="P316" s="4" t="s">
        <v>737</v>
      </c>
      <c r="Q316" s="4">
        <f>133/150</f>
        <v>0.88666666666666671</v>
      </c>
      <c r="V316" s="4">
        <v>5</v>
      </c>
      <c r="W316" s="4" t="s">
        <v>722</v>
      </c>
      <c r="Y316" s="4" t="s">
        <v>82</v>
      </c>
      <c r="AA316" s="4" t="s">
        <v>691</v>
      </c>
      <c r="AC316" s="4" t="s">
        <v>738</v>
      </c>
      <c r="AD316" s="6" t="s">
        <v>739</v>
      </c>
      <c r="AE316" s="12" t="s">
        <v>814</v>
      </c>
      <c r="AF316" s="12">
        <v>3.2</v>
      </c>
      <c r="AG316" s="6"/>
      <c r="AI316" s="4">
        <v>2.4</v>
      </c>
      <c r="AJ316" s="4">
        <v>4.2</v>
      </c>
      <c r="AL316" s="4" t="s">
        <v>399</v>
      </c>
      <c r="AM316" s="10"/>
      <c r="AP316" s="15">
        <v>6000</v>
      </c>
      <c r="AQ316" s="4">
        <v>6</v>
      </c>
      <c r="AV316" s="4">
        <v>170</v>
      </c>
      <c r="AW316" s="7">
        <v>170</v>
      </c>
      <c r="AX316" s="7">
        <v>170</v>
      </c>
      <c r="AY316" s="4">
        <v>133</v>
      </c>
      <c r="AZ316" s="4">
        <v>133</v>
      </c>
      <c r="BA316" s="4">
        <v>133</v>
      </c>
      <c r="BB316" s="4">
        <v>133</v>
      </c>
      <c r="BD316" s="4">
        <f t="shared" si="177"/>
        <v>1</v>
      </c>
      <c r="BE316" s="4">
        <f t="shared" si="178"/>
        <v>0</v>
      </c>
      <c r="BG316" s="7">
        <v>1</v>
      </c>
    </row>
    <row r="317" spans="1:59" s="1" customFormat="1" ht="19.5" customHeight="1" x14ac:dyDescent="0.2">
      <c r="A317" s="1" t="s">
        <v>167</v>
      </c>
      <c r="B317" s="1" t="s">
        <v>93</v>
      </c>
      <c r="C317" s="1" t="s">
        <v>742</v>
      </c>
      <c r="D317" s="1" t="s">
        <v>210</v>
      </c>
      <c r="F317" s="13">
        <v>3.4</v>
      </c>
      <c r="G317" s="12" t="e">
        <f t="shared" si="138"/>
        <v>#DIV/0!</v>
      </c>
      <c r="R317" s="3"/>
      <c r="T317" s="1" t="s">
        <v>745</v>
      </c>
      <c r="V317" s="1">
        <v>5</v>
      </c>
      <c r="W317" s="1" t="s">
        <v>34</v>
      </c>
      <c r="Y317" s="1" t="s">
        <v>15</v>
      </c>
      <c r="AA317" s="1" t="s">
        <v>743</v>
      </c>
      <c r="AC317" s="1" t="s">
        <v>740</v>
      </c>
      <c r="AD317" s="5" t="s">
        <v>744</v>
      </c>
      <c r="AE317" s="13" t="s">
        <v>814</v>
      </c>
      <c r="AF317" s="13">
        <v>3.4</v>
      </c>
      <c r="AG317" s="5"/>
      <c r="AI317" s="1">
        <v>2.5</v>
      </c>
      <c r="AJ317" s="1">
        <v>4.2</v>
      </c>
      <c r="AM317" s="2"/>
      <c r="AN317" s="3"/>
      <c r="AP317" s="15">
        <v>200</v>
      </c>
      <c r="AQ317" s="1">
        <v>0.3</v>
      </c>
      <c r="AR317" s="3">
        <v>0.2</v>
      </c>
      <c r="AS317" s="3">
        <v>0.2</v>
      </c>
      <c r="AT317" s="3"/>
      <c r="AU317" s="3"/>
      <c r="AV317" s="1">
        <v>170</v>
      </c>
      <c r="AW317" s="3">
        <f>AV317*AR317</f>
        <v>34</v>
      </c>
      <c r="AX317" s="3">
        <f>AS317*AV317</f>
        <v>34</v>
      </c>
      <c r="AY317" s="1">
        <v>160</v>
      </c>
      <c r="AZ317" s="1">
        <v>155</v>
      </c>
      <c r="BA317" s="1">
        <v>152</v>
      </c>
      <c r="BB317" s="1">
        <v>151</v>
      </c>
      <c r="BD317" s="1">
        <f t="shared" ref="BD317:BD324" si="179">BA317/AY317</f>
        <v>0.95</v>
      </c>
      <c r="BE317" s="1">
        <f t="shared" ref="BE317:BE324" si="180">(AY317-BA317)/50</f>
        <v>0.16</v>
      </c>
      <c r="BG317" s="3"/>
    </row>
    <row r="318" spans="1:59" ht="17.25" customHeight="1" x14ac:dyDescent="0.2">
      <c r="A318" s="4" t="s">
        <v>167</v>
      </c>
      <c r="B318" s="4" t="s">
        <v>93</v>
      </c>
      <c r="C318" s="4" t="s">
        <v>742</v>
      </c>
      <c r="D318" s="4" t="s">
        <v>210</v>
      </c>
      <c r="F318" s="12"/>
      <c r="G318" s="12" t="e">
        <f t="shared" si="138"/>
        <v>#DIV/0!</v>
      </c>
      <c r="T318" s="4" t="s">
        <v>745</v>
      </c>
      <c r="V318" s="4">
        <v>5</v>
      </c>
      <c r="W318" s="4" t="s">
        <v>34</v>
      </c>
      <c r="Y318" s="4" t="s">
        <v>15</v>
      </c>
      <c r="AA318" s="4" t="s">
        <v>743</v>
      </c>
      <c r="AC318" s="4" t="s">
        <v>740</v>
      </c>
      <c r="AD318" s="6" t="s">
        <v>744</v>
      </c>
      <c r="AE318" s="12" t="s">
        <v>814</v>
      </c>
      <c r="AF318" s="12"/>
      <c r="AG318" s="6"/>
      <c r="AI318" s="4">
        <v>2.5</v>
      </c>
      <c r="AJ318" s="4">
        <v>4.2</v>
      </c>
      <c r="AM318" s="10"/>
      <c r="AP318" s="15">
        <v>200</v>
      </c>
      <c r="AQ318" s="4">
        <v>0.3</v>
      </c>
      <c r="AR318" s="7">
        <v>1</v>
      </c>
      <c r="AS318" s="7">
        <v>1</v>
      </c>
      <c r="AV318" s="4">
        <v>170</v>
      </c>
      <c r="AW318" s="7">
        <f t="shared" ref="AW318:AW330" si="181">AV318*AR318</f>
        <v>170</v>
      </c>
      <c r="AX318" s="7">
        <f t="shared" ref="AX318:AX331" si="182">AS318*AV318</f>
        <v>170</v>
      </c>
      <c r="AY318" s="4">
        <v>141</v>
      </c>
      <c r="AZ318" s="4">
        <v>141</v>
      </c>
      <c r="BA318" s="4">
        <v>141</v>
      </c>
      <c r="BB318" s="4">
        <v>141</v>
      </c>
      <c r="BD318" s="4">
        <f t="shared" si="179"/>
        <v>1</v>
      </c>
      <c r="BE318" s="4">
        <f t="shared" si="180"/>
        <v>0</v>
      </c>
    </row>
    <row r="319" spans="1:59" s="1" customFormat="1" ht="19.5" customHeight="1" x14ac:dyDescent="0.2">
      <c r="A319" s="1" t="s">
        <v>167</v>
      </c>
      <c r="B319" s="1" t="s">
        <v>93</v>
      </c>
      <c r="C319" s="1" t="s">
        <v>742</v>
      </c>
      <c r="D319" s="1" t="s">
        <v>210</v>
      </c>
      <c r="F319" s="13"/>
      <c r="G319" s="12" t="e">
        <f t="shared" si="138"/>
        <v>#DIV/0!</v>
      </c>
      <c r="R319" s="3"/>
      <c r="T319" s="1" t="s">
        <v>745</v>
      </c>
      <c r="V319" s="1">
        <v>5</v>
      </c>
      <c r="W319" s="1" t="s">
        <v>34</v>
      </c>
      <c r="Y319" s="1" t="s">
        <v>15</v>
      </c>
      <c r="AA319" s="1" t="s">
        <v>743</v>
      </c>
      <c r="AC319" s="1" t="s">
        <v>740</v>
      </c>
      <c r="AD319" s="5" t="s">
        <v>744</v>
      </c>
      <c r="AE319" s="13" t="s">
        <v>814</v>
      </c>
      <c r="AF319" s="13"/>
      <c r="AG319" s="5"/>
      <c r="AI319" s="1">
        <v>2.5</v>
      </c>
      <c r="AJ319" s="1">
        <v>4.2</v>
      </c>
      <c r="AM319" s="2"/>
      <c r="AN319" s="3"/>
      <c r="AP319" s="15">
        <v>200</v>
      </c>
      <c r="AQ319" s="1">
        <v>0.3</v>
      </c>
      <c r="AR319" s="3">
        <v>5</v>
      </c>
      <c r="AS319" s="3">
        <v>5</v>
      </c>
      <c r="AT319" s="3"/>
      <c r="AU319" s="3"/>
      <c r="AV319" s="1">
        <v>170</v>
      </c>
      <c r="AW319" s="3">
        <f t="shared" si="181"/>
        <v>850</v>
      </c>
      <c r="AX319" s="3">
        <f t="shared" si="182"/>
        <v>850</v>
      </c>
      <c r="AY319" s="1">
        <v>123</v>
      </c>
      <c r="AZ319" s="1">
        <v>121</v>
      </c>
      <c r="BA319" s="1">
        <v>120</v>
      </c>
      <c r="BB319" s="1">
        <v>119</v>
      </c>
      <c r="BD319" s="1">
        <f t="shared" si="179"/>
        <v>0.97560975609756095</v>
      </c>
      <c r="BE319" s="1">
        <f t="shared" si="180"/>
        <v>0.06</v>
      </c>
      <c r="BG319" s="3"/>
    </row>
    <row r="320" spans="1:59" ht="17.25" customHeight="1" x14ac:dyDescent="0.2">
      <c r="A320" s="4" t="s">
        <v>167</v>
      </c>
      <c r="B320" s="4" t="s">
        <v>93</v>
      </c>
      <c r="C320" s="4" t="s">
        <v>742</v>
      </c>
      <c r="D320" s="4" t="s">
        <v>210</v>
      </c>
      <c r="F320" s="12"/>
      <c r="G320" s="12" t="e">
        <f t="shared" si="138"/>
        <v>#DIV/0!</v>
      </c>
      <c r="T320" s="4" t="s">
        <v>745</v>
      </c>
      <c r="V320" s="4">
        <v>5</v>
      </c>
      <c r="W320" s="4" t="s">
        <v>34</v>
      </c>
      <c r="Y320" s="4" t="s">
        <v>15</v>
      </c>
      <c r="AA320" s="4" t="s">
        <v>743</v>
      </c>
      <c r="AC320" s="4" t="s">
        <v>740</v>
      </c>
      <c r="AD320" s="6" t="s">
        <v>744</v>
      </c>
      <c r="AE320" s="12" t="s">
        <v>814</v>
      </c>
      <c r="AF320" s="12"/>
      <c r="AG320" s="6"/>
      <c r="AI320" s="4">
        <v>2.5</v>
      </c>
      <c r="AJ320" s="4">
        <v>4.2</v>
      </c>
      <c r="AM320" s="10"/>
      <c r="AP320" s="15">
        <v>200</v>
      </c>
      <c r="AQ320" s="4">
        <v>0.3</v>
      </c>
      <c r="AR320" s="7">
        <v>10</v>
      </c>
      <c r="AS320" s="7">
        <v>10</v>
      </c>
      <c r="AV320" s="4">
        <v>170</v>
      </c>
      <c r="AW320" s="7">
        <f t="shared" si="181"/>
        <v>1700</v>
      </c>
      <c r="AX320" s="7">
        <f t="shared" si="182"/>
        <v>1700</v>
      </c>
      <c r="AY320" s="4">
        <v>104</v>
      </c>
      <c r="AZ320" s="4">
        <v>104</v>
      </c>
      <c r="BA320" s="4">
        <v>104</v>
      </c>
      <c r="BB320" s="4">
        <v>104</v>
      </c>
      <c r="BD320" s="4">
        <f t="shared" si="179"/>
        <v>1</v>
      </c>
      <c r="BE320" s="4">
        <f t="shared" si="180"/>
        <v>0</v>
      </c>
    </row>
    <row r="321" spans="1:59" s="1" customFormat="1" ht="19.5" customHeight="1" x14ac:dyDescent="0.2">
      <c r="A321" s="1" t="s">
        <v>167</v>
      </c>
      <c r="B321" s="1" t="s">
        <v>93</v>
      </c>
      <c r="C321" s="1" t="s">
        <v>748</v>
      </c>
      <c r="D321" s="1" t="s">
        <v>210</v>
      </c>
      <c r="F321" s="13"/>
      <c r="G321" s="12">
        <f t="shared" si="138"/>
        <v>3.4</v>
      </c>
      <c r="H321" s="1">
        <v>3.5</v>
      </c>
      <c r="L321" s="1">
        <v>3.3</v>
      </c>
      <c r="P321" s="1" t="s">
        <v>750</v>
      </c>
      <c r="R321" s="3">
        <v>0</v>
      </c>
      <c r="V321" s="1">
        <v>5</v>
      </c>
      <c r="W321" s="1" t="s">
        <v>747</v>
      </c>
      <c r="Y321" s="1" t="s">
        <v>15</v>
      </c>
      <c r="AA321" s="1" t="s">
        <v>749</v>
      </c>
      <c r="AC321" s="1" t="s">
        <v>741</v>
      </c>
      <c r="AD321" s="5" t="s">
        <v>746</v>
      </c>
      <c r="AE321" s="13" t="s">
        <v>814</v>
      </c>
      <c r="AF321" s="13"/>
      <c r="AG321" s="5"/>
      <c r="AI321" s="1">
        <v>2</v>
      </c>
      <c r="AJ321" s="1">
        <v>4.5</v>
      </c>
      <c r="AM321" s="2"/>
      <c r="AN321" s="3"/>
      <c r="AP321" s="15">
        <v>15</v>
      </c>
      <c r="AQ321" s="1">
        <v>0.02</v>
      </c>
      <c r="AR321" s="3">
        <v>0.5</v>
      </c>
      <c r="AS321" s="3">
        <v>0.5</v>
      </c>
      <c r="AT321" s="3"/>
      <c r="AU321" s="3"/>
      <c r="AV321" s="1">
        <v>170</v>
      </c>
      <c r="AW321" s="3">
        <f t="shared" si="181"/>
        <v>85</v>
      </c>
      <c r="AX321" s="3">
        <f t="shared" si="182"/>
        <v>85</v>
      </c>
      <c r="AY321" s="1">
        <v>158</v>
      </c>
      <c r="AZ321" s="1">
        <v>147</v>
      </c>
      <c r="BA321" s="1">
        <v>153</v>
      </c>
      <c r="BD321" s="1">
        <f t="shared" si="179"/>
        <v>0.96835443037974689</v>
      </c>
      <c r="BE321" s="1">
        <f t="shared" si="180"/>
        <v>0.1</v>
      </c>
      <c r="BG321" s="3">
        <v>1</v>
      </c>
    </row>
    <row r="322" spans="1:59" ht="17.25" customHeight="1" x14ac:dyDescent="0.2">
      <c r="A322" s="4" t="s">
        <v>167</v>
      </c>
      <c r="B322" s="4" t="s">
        <v>5</v>
      </c>
      <c r="C322" s="4" t="s">
        <v>757</v>
      </c>
      <c r="D322" s="4" t="s">
        <v>752</v>
      </c>
      <c r="F322" s="12">
        <v>4</v>
      </c>
      <c r="G322" s="12" t="e">
        <f t="shared" si="138"/>
        <v>#DIV/0!</v>
      </c>
      <c r="P322" s="4" t="s">
        <v>754</v>
      </c>
      <c r="Q322" s="4">
        <v>1</v>
      </c>
      <c r="R322" s="7">
        <v>1</v>
      </c>
      <c r="V322" s="4">
        <v>2</v>
      </c>
      <c r="W322" s="4" t="s">
        <v>755</v>
      </c>
      <c r="Y322" s="4" t="s">
        <v>15</v>
      </c>
      <c r="AA322" s="4" t="s">
        <v>756</v>
      </c>
      <c r="AC322" s="4" t="s">
        <v>751</v>
      </c>
      <c r="AD322" s="6" t="s">
        <v>800</v>
      </c>
      <c r="AE322" s="12" t="s">
        <v>820</v>
      </c>
      <c r="AF322" s="12">
        <v>4</v>
      </c>
      <c r="AG322" s="6"/>
      <c r="AI322" s="4">
        <v>3.5</v>
      </c>
      <c r="AJ322" s="4">
        <v>4.5</v>
      </c>
      <c r="AM322" s="10"/>
      <c r="AP322" s="15">
        <v>20</v>
      </c>
      <c r="AQ322" s="4">
        <v>0.03</v>
      </c>
      <c r="AR322" s="7" t="s">
        <v>753</v>
      </c>
      <c r="AS322" s="7" t="s">
        <v>753</v>
      </c>
      <c r="AT322" s="7" t="s">
        <v>5</v>
      </c>
      <c r="AV322" s="4">
        <v>148</v>
      </c>
      <c r="AW322" s="7" t="e">
        <f t="shared" si="181"/>
        <v>#VALUE!</v>
      </c>
      <c r="AX322" s="7" t="e">
        <f t="shared" si="182"/>
        <v>#VALUE!</v>
      </c>
      <c r="AY322" s="4">
        <v>107</v>
      </c>
      <c r="AZ322" s="4">
        <v>106</v>
      </c>
      <c r="BA322" s="4">
        <v>104</v>
      </c>
      <c r="BD322" s="4">
        <f t="shared" si="179"/>
        <v>0.9719626168224299</v>
      </c>
      <c r="BE322" s="4">
        <f t="shared" si="180"/>
        <v>0.06</v>
      </c>
    </row>
    <row r="323" spans="1:59" s="1" customFormat="1" ht="19.5" customHeight="1" x14ac:dyDescent="0.2">
      <c r="A323" s="1" t="s">
        <v>167</v>
      </c>
      <c r="B323" s="1" t="s">
        <v>93</v>
      </c>
      <c r="C323" s="1" t="s">
        <v>761</v>
      </c>
      <c r="D323" s="1" t="s">
        <v>210</v>
      </c>
      <c r="F323" s="13">
        <v>3.3</v>
      </c>
      <c r="G323" s="12">
        <f t="shared" si="138"/>
        <v>3.4</v>
      </c>
      <c r="L323" s="1">
        <v>3.4</v>
      </c>
      <c r="R323" s="3"/>
      <c r="V323" s="1">
        <v>5</v>
      </c>
      <c r="W323" s="1" t="s">
        <v>760</v>
      </c>
      <c r="Y323" s="1" t="s">
        <v>15</v>
      </c>
      <c r="AA323" s="1" t="s">
        <v>756</v>
      </c>
      <c r="AC323" s="1" t="s">
        <v>758</v>
      </c>
      <c r="AD323" s="5" t="s">
        <v>759</v>
      </c>
      <c r="AE323" s="13" t="s">
        <v>814</v>
      </c>
      <c r="AF323" s="13">
        <v>3.3</v>
      </c>
      <c r="AG323" s="5"/>
      <c r="AI323" s="1">
        <v>2.7</v>
      </c>
      <c r="AJ323" s="1">
        <v>4.0999999999999996</v>
      </c>
      <c r="AM323" s="2"/>
      <c r="AN323" s="3"/>
      <c r="AP323" s="15">
        <v>200</v>
      </c>
      <c r="AQ323" s="1">
        <v>0.3</v>
      </c>
      <c r="AR323" s="3">
        <v>0.33333333333333331</v>
      </c>
      <c r="AS323" s="3">
        <v>0.33333333333333331</v>
      </c>
      <c r="AT323" s="3" t="s">
        <v>93</v>
      </c>
      <c r="AU323" s="3"/>
      <c r="AV323" s="1">
        <v>170</v>
      </c>
      <c r="AW323" s="3">
        <f t="shared" si="181"/>
        <v>56.666666666666664</v>
      </c>
      <c r="AX323" s="3">
        <f t="shared" si="182"/>
        <v>56.666666666666664</v>
      </c>
      <c r="AY323" s="1">
        <v>94</v>
      </c>
      <c r="AZ323" s="1">
        <v>97</v>
      </c>
      <c r="BA323" s="1">
        <v>99</v>
      </c>
      <c r="BD323" s="1">
        <f t="shared" si="179"/>
        <v>1.053191489361702</v>
      </c>
      <c r="BE323" s="1">
        <f t="shared" si="180"/>
        <v>-0.1</v>
      </c>
      <c r="BG323" s="3"/>
    </row>
    <row r="324" spans="1:59" ht="17.25" customHeight="1" x14ac:dyDescent="0.2">
      <c r="A324" s="4" t="s">
        <v>167</v>
      </c>
      <c r="B324" s="4" t="s">
        <v>79</v>
      </c>
      <c r="C324" s="4" t="s">
        <v>572</v>
      </c>
      <c r="D324" s="4" t="s">
        <v>210</v>
      </c>
      <c r="F324" s="12">
        <v>3.9</v>
      </c>
      <c r="G324" s="12" t="e">
        <f t="shared" si="138"/>
        <v>#DIV/0!</v>
      </c>
      <c r="T324" s="4" t="s">
        <v>767</v>
      </c>
      <c r="V324" s="4">
        <v>4</v>
      </c>
      <c r="W324" s="4" t="s">
        <v>764</v>
      </c>
      <c r="Y324" s="4" t="s">
        <v>15</v>
      </c>
      <c r="AA324" s="4" t="s">
        <v>766</v>
      </c>
      <c r="AC324" s="4" t="s">
        <v>762</v>
      </c>
      <c r="AD324" s="6" t="s">
        <v>763</v>
      </c>
      <c r="AE324" s="12" t="s">
        <v>815</v>
      </c>
      <c r="AF324" s="12">
        <v>3.9</v>
      </c>
      <c r="AG324" s="6"/>
      <c r="AI324" s="4">
        <v>3</v>
      </c>
      <c r="AJ324" s="4">
        <v>4.8</v>
      </c>
      <c r="AM324" s="10" t="s">
        <v>765</v>
      </c>
      <c r="AR324" s="7">
        <v>0.2</v>
      </c>
      <c r="AS324" s="7">
        <v>0.2</v>
      </c>
      <c r="AT324" s="7" t="s">
        <v>79</v>
      </c>
      <c r="AV324" s="4">
        <v>197</v>
      </c>
      <c r="AW324" s="7">
        <f t="shared" si="181"/>
        <v>39.400000000000006</v>
      </c>
      <c r="AX324" s="7">
        <f t="shared" si="182"/>
        <v>39.400000000000006</v>
      </c>
      <c r="AY324" s="4">
        <v>153</v>
      </c>
      <c r="AZ324" s="4">
        <v>139</v>
      </c>
      <c r="BA324" s="4">
        <v>138</v>
      </c>
      <c r="BC324" s="4" t="s">
        <v>773</v>
      </c>
      <c r="BD324" s="4">
        <f t="shared" si="179"/>
        <v>0.90196078431372551</v>
      </c>
      <c r="BE324" s="4">
        <f t="shared" si="180"/>
        <v>0.3</v>
      </c>
      <c r="BG324" s="7">
        <f>AY324/175</f>
        <v>0.87428571428571433</v>
      </c>
    </row>
    <row r="325" spans="1:59" s="1" customFormat="1" ht="19.5" customHeight="1" x14ac:dyDescent="0.2">
      <c r="A325" s="1" t="s">
        <v>167</v>
      </c>
      <c r="B325" s="1" t="s">
        <v>79</v>
      </c>
      <c r="C325" s="1" t="s">
        <v>572</v>
      </c>
      <c r="D325" s="1" t="s">
        <v>210</v>
      </c>
      <c r="F325" s="13">
        <v>3.85</v>
      </c>
      <c r="G325" s="12" t="e">
        <f t="shared" si="138"/>
        <v>#DIV/0!</v>
      </c>
      <c r="R325" s="3"/>
      <c r="T325" s="1" t="s">
        <v>768</v>
      </c>
      <c r="V325" s="1">
        <v>4</v>
      </c>
      <c r="W325" s="1" t="s">
        <v>764</v>
      </c>
      <c r="Y325" s="1" t="s">
        <v>15</v>
      </c>
      <c r="AA325" s="1" t="s">
        <v>766</v>
      </c>
      <c r="AC325" s="1" t="s">
        <v>762</v>
      </c>
      <c r="AD325" s="5" t="s">
        <v>763</v>
      </c>
      <c r="AE325" s="13" t="s">
        <v>815</v>
      </c>
      <c r="AF325" s="13">
        <v>3.85</v>
      </c>
      <c r="AG325" s="5"/>
      <c r="AI325" s="1">
        <v>3</v>
      </c>
      <c r="AJ325" s="1">
        <v>4.8</v>
      </c>
      <c r="AM325" s="2" t="s">
        <v>765</v>
      </c>
      <c r="AN325" s="3"/>
      <c r="AP325" s="15"/>
      <c r="AR325" s="3">
        <v>0.2</v>
      </c>
      <c r="AS325" s="3">
        <v>0.2</v>
      </c>
      <c r="AT325" s="3" t="s">
        <v>79</v>
      </c>
      <c r="AU325" s="3"/>
      <c r="AV325" s="1">
        <v>197</v>
      </c>
      <c r="AW325" s="3">
        <f t="shared" si="181"/>
        <v>39.400000000000006</v>
      </c>
      <c r="AX325" s="3">
        <f t="shared" si="182"/>
        <v>39.400000000000006</v>
      </c>
      <c r="AY325" s="1">
        <v>167</v>
      </c>
      <c r="AZ325" s="1">
        <v>147</v>
      </c>
      <c r="BA325" s="1">
        <v>144</v>
      </c>
      <c r="BC325" s="1" t="s">
        <v>773</v>
      </c>
      <c r="BD325" s="1">
        <f t="shared" ref="BD325:BD350" si="183">BA325/AY325</f>
        <v>0.86227544910179643</v>
      </c>
      <c r="BE325" s="1">
        <f t="shared" ref="BE325:BE350" si="184">(AY325-BA325)/50</f>
        <v>0.46</v>
      </c>
      <c r="BG325" s="3">
        <f>AY325/182</f>
        <v>0.91758241758241754</v>
      </c>
    </row>
    <row r="326" spans="1:59" ht="17.25" customHeight="1" x14ac:dyDescent="0.2">
      <c r="A326" s="4" t="s">
        <v>167</v>
      </c>
      <c r="B326" s="4" t="s">
        <v>79</v>
      </c>
      <c r="C326" s="4" t="s">
        <v>572</v>
      </c>
      <c r="D326" s="4" t="s">
        <v>210</v>
      </c>
      <c r="F326" s="12">
        <v>3.8</v>
      </c>
      <c r="G326" s="12">
        <f t="shared" si="138"/>
        <v>3.8757142857142859</v>
      </c>
      <c r="H326" s="4">
        <v>3.6</v>
      </c>
      <c r="I326" s="4">
        <v>3.7</v>
      </c>
      <c r="J326" s="4">
        <v>4.0999999999999996</v>
      </c>
      <c r="K326" s="4">
        <v>4.58</v>
      </c>
      <c r="L326" s="4">
        <v>3.57</v>
      </c>
      <c r="M326" s="4">
        <v>3.64</v>
      </c>
      <c r="N326" s="4">
        <v>3.94</v>
      </c>
      <c r="T326" s="4" t="s">
        <v>769</v>
      </c>
      <c r="V326" s="4">
        <v>4</v>
      </c>
      <c r="W326" s="4" t="s">
        <v>764</v>
      </c>
      <c r="Y326" s="4" t="s">
        <v>15</v>
      </c>
      <c r="AA326" s="4" t="s">
        <v>766</v>
      </c>
      <c r="AC326" s="4" t="s">
        <v>762</v>
      </c>
      <c r="AD326" s="6" t="s">
        <v>763</v>
      </c>
      <c r="AE326" s="12" t="s">
        <v>815</v>
      </c>
      <c r="AF326" s="12">
        <v>3.8</v>
      </c>
      <c r="AG326" s="6"/>
      <c r="AI326" s="4">
        <v>3</v>
      </c>
      <c r="AJ326" s="4">
        <v>4.8</v>
      </c>
      <c r="AM326" s="10" t="s">
        <v>765</v>
      </c>
      <c r="AR326" s="7">
        <v>0.2</v>
      </c>
      <c r="AS326" s="7">
        <v>0.2</v>
      </c>
      <c r="AT326" s="7" t="s">
        <v>79</v>
      </c>
      <c r="AV326" s="4">
        <v>197</v>
      </c>
      <c r="AW326" s="7">
        <f t="shared" si="181"/>
        <v>39.400000000000006</v>
      </c>
      <c r="AX326" s="7">
        <f t="shared" si="182"/>
        <v>39.400000000000006</v>
      </c>
      <c r="AY326" s="4">
        <v>170</v>
      </c>
      <c r="AZ326" s="4">
        <v>151</v>
      </c>
      <c r="BA326" s="4">
        <v>142</v>
      </c>
      <c r="BD326" s="4">
        <f t="shared" si="183"/>
        <v>0.83529411764705885</v>
      </c>
      <c r="BE326" s="4">
        <f t="shared" si="184"/>
        <v>0.56000000000000005</v>
      </c>
      <c r="BG326" s="7">
        <f>AY326/190</f>
        <v>0.89473684210526316</v>
      </c>
    </row>
    <row r="327" spans="1:59" s="1" customFormat="1" ht="19.5" customHeight="1" x14ac:dyDescent="0.2">
      <c r="A327" s="1" t="s">
        <v>167</v>
      </c>
      <c r="B327" s="1" t="s">
        <v>79</v>
      </c>
      <c r="C327" s="1" t="s">
        <v>572</v>
      </c>
      <c r="D327" s="1" t="s">
        <v>210</v>
      </c>
      <c r="F327" s="13">
        <v>3.8</v>
      </c>
      <c r="G327" s="12" t="e">
        <f t="shared" ref="G327:G349" si="185">AVERAGE(H327:O327)</f>
        <v>#DIV/0!</v>
      </c>
      <c r="R327" s="3"/>
      <c r="T327" s="1" t="s">
        <v>770</v>
      </c>
      <c r="V327" s="1">
        <v>4</v>
      </c>
      <c r="W327" s="1" t="s">
        <v>764</v>
      </c>
      <c r="Y327" s="1" t="s">
        <v>15</v>
      </c>
      <c r="AA327" s="1" t="s">
        <v>766</v>
      </c>
      <c r="AC327" s="1" t="s">
        <v>762</v>
      </c>
      <c r="AD327" s="5" t="s">
        <v>763</v>
      </c>
      <c r="AE327" s="13" t="s">
        <v>815</v>
      </c>
      <c r="AF327" s="13">
        <v>3.8</v>
      </c>
      <c r="AG327" s="5"/>
      <c r="AI327" s="1">
        <v>3</v>
      </c>
      <c r="AJ327" s="1">
        <v>4.8</v>
      </c>
      <c r="AM327" s="2" t="s">
        <v>765</v>
      </c>
      <c r="AN327" s="3"/>
      <c r="AP327" s="15"/>
      <c r="AR327" s="3">
        <v>0.2</v>
      </c>
      <c r="AS327" s="3">
        <v>0.2</v>
      </c>
      <c r="AT327" s="3" t="s">
        <v>79</v>
      </c>
      <c r="AU327" s="3"/>
      <c r="AV327" s="1">
        <v>197</v>
      </c>
      <c r="AW327" s="3">
        <f t="shared" si="181"/>
        <v>39.400000000000006</v>
      </c>
      <c r="AX327" s="3">
        <f t="shared" si="182"/>
        <v>39.400000000000006</v>
      </c>
      <c r="AY327" s="1">
        <v>163</v>
      </c>
      <c r="AZ327" s="1">
        <v>145</v>
      </c>
      <c r="BA327" s="1">
        <v>141</v>
      </c>
      <c r="BC327" s="1" t="s">
        <v>773</v>
      </c>
      <c r="BD327" s="1">
        <f t="shared" si="183"/>
        <v>0.86503067484662577</v>
      </c>
      <c r="BE327" s="1">
        <f t="shared" si="184"/>
        <v>0.44</v>
      </c>
      <c r="BG327" s="3">
        <f>AY327/190</f>
        <v>0.85789473684210527</v>
      </c>
    </row>
    <row r="328" spans="1:59" ht="17.25" customHeight="1" x14ac:dyDescent="0.2">
      <c r="A328" s="4" t="s">
        <v>167</v>
      </c>
      <c r="B328" s="4" t="s">
        <v>79</v>
      </c>
      <c r="C328" s="4" t="s">
        <v>572</v>
      </c>
      <c r="D328" s="4" t="s">
        <v>210</v>
      </c>
      <c r="F328" s="12">
        <v>3.9</v>
      </c>
      <c r="G328" s="12" t="e">
        <f t="shared" si="185"/>
        <v>#DIV/0!</v>
      </c>
      <c r="T328" s="4" t="s">
        <v>771</v>
      </c>
      <c r="V328" s="4">
        <v>4</v>
      </c>
      <c r="W328" s="4" t="s">
        <v>764</v>
      </c>
      <c r="Y328" s="4" t="s">
        <v>15</v>
      </c>
      <c r="AA328" s="4" t="s">
        <v>766</v>
      </c>
      <c r="AC328" s="4" t="s">
        <v>762</v>
      </c>
      <c r="AD328" s="6" t="s">
        <v>763</v>
      </c>
      <c r="AE328" s="12" t="s">
        <v>815</v>
      </c>
      <c r="AF328" s="12">
        <v>3.9</v>
      </c>
      <c r="AG328" s="6"/>
      <c r="AI328" s="4">
        <v>3</v>
      </c>
      <c r="AJ328" s="4">
        <v>4.8</v>
      </c>
      <c r="AM328" s="10" t="s">
        <v>765</v>
      </c>
      <c r="AR328" s="7">
        <v>0.2</v>
      </c>
      <c r="AS328" s="7">
        <v>0.2</v>
      </c>
      <c r="AT328" s="7" t="s">
        <v>79</v>
      </c>
      <c r="AV328" s="4">
        <v>197</v>
      </c>
      <c r="AW328" s="7">
        <f t="shared" si="181"/>
        <v>39.400000000000006</v>
      </c>
      <c r="AX328" s="7">
        <f t="shared" si="182"/>
        <v>39.400000000000006</v>
      </c>
      <c r="AY328" s="4">
        <v>156</v>
      </c>
      <c r="AZ328" s="4">
        <v>138</v>
      </c>
      <c r="BA328" s="4">
        <v>134</v>
      </c>
      <c r="BC328" s="4" t="s">
        <v>773</v>
      </c>
      <c r="BD328" s="4">
        <f t="shared" si="183"/>
        <v>0.85897435897435892</v>
      </c>
      <c r="BE328" s="4">
        <f t="shared" si="184"/>
        <v>0.44</v>
      </c>
      <c r="BG328" s="7">
        <f>AY328/178</f>
        <v>0.8764044943820225</v>
      </c>
    </row>
    <row r="329" spans="1:59" s="1" customFormat="1" ht="19.5" customHeight="1" x14ac:dyDescent="0.2">
      <c r="A329" s="1" t="s">
        <v>167</v>
      </c>
      <c r="B329" s="1" t="s">
        <v>79</v>
      </c>
      <c r="C329" s="1" t="s">
        <v>572</v>
      </c>
      <c r="D329" s="1" t="s">
        <v>210</v>
      </c>
      <c r="F329" s="13">
        <v>3.8</v>
      </c>
      <c r="G329" s="12" t="e">
        <f t="shared" si="185"/>
        <v>#DIV/0!</v>
      </c>
      <c r="R329" s="3"/>
      <c r="T329" s="1" t="s">
        <v>772</v>
      </c>
      <c r="V329" s="1">
        <v>4</v>
      </c>
      <c r="W329" s="1" t="s">
        <v>764</v>
      </c>
      <c r="Y329" s="1" t="s">
        <v>15</v>
      </c>
      <c r="AA329" s="1" t="s">
        <v>766</v>
      </c>
      <c r="AC329" s="1" t="s">
        <v>762</v>
      </c>
      <c r="AD329" s="5" t="s">
        <v>763</v>
      </c>
      <c r="AE329" s="13" t="s">
        <v>815</v>
      </c>
      <c r="AF329" s="13">
        <v>3.8</v>
      </c>
      <c r="AG329" s="5"/>
      <c r="AI329" s="1">
        <v>3</v>
      </c>
      <c r="AJ329" s="1">
        <v>4.8</v>
      </c>
      <c r="AM329" s="2" t="s">
        <v>765</v>
      </c>
      <c r="AN329" s="3"/>
      <c r="AP329" s="15"/>
      <c r="AR329" s="3">
        <v>0.2</v>
      </c>
      <c r="AS329" s="3">
        <v>0.2</v>
      </c>
      <c r="AT329" s="3" t="s">
        <v>79</v>
      </c>
      <c r="AU329" s="3"/>
      <c r="AV329" s="1">
        <v>197</v>
      </c>
      <c r="AW329" s="3">
        <f t="shared" si="181"/>
        <v>39.400000000000006</v>
      </c>
      <c r="AX329" s="3">
        <f t="shared" si="182"/>
        <v>39.400000000000006</v>
      </c>
      <c r="AY329" s="1">
        <v>149</v>
      </c>
      <c r="AZ329" s="1">
        <v>132</v>
      </c>
      <c r="BA329" s="1">
        <v>129</v>
      </c>
      <c r="BC329" s="1" t="s">
        <v>773</v>
      </c>
      <c r="BD329" s="1">
        <f t="shared" si="183"/>
        <v>0.86577181208053688</v>
      </c>
      <c r="BE329" s="1">
        <f t="shared" si="184"/>
        <v>0.4</v>
      </c>
      <c r="BG329" s="3">
        <f>AY329/168</f>
        <v>0.88690476190476186</v>
      </c>
    </row>
    <row r="330" spans="1:59" ht="17.25" customHeight="1" x14ac:dyDescent="0.2">
      <c r="A330" s="4">
        <v>25</v>
      </c>
      <c r="B330" s="4" t="s">
        <v>93</v>
      </c>
      <c r="C330" s="4" t="s">
        <v>238</v>
      </c>
      <c r="D330" s="4" t="s">
        <v>210</v>
      </c>
      <c r="F330" s="12">
        <v>3.3</v>
      </c>
      <c r="G330" s="12">
        <f t="shared" si="185"/>
        <v>3.37</v>
      </c>
      <c r="H330" s="4">
        <v>3.44</v>
      </c>
      <c r="L330" s="4">
        <v>3.3</v>
      </c>
      <c r="P330" s="4" t="s">
        <v>778</v>
      </c>
      <c r="Q330" s="4">
        <f>138/141</f>
        <v>0.97872340425531912</v>
      </c>
      <c r="R330" s="7">
        <f>107/138</f>
        <v>0.77536231884057971</v>
      </c>
      <c r="T330" s="4" t="s">
        <v>777</v>
      </c>
      <c r="V330" s="4">
        <v>5</v>
      </c>
      <c r="W330" s="4" t="s">
        <v>67</v>
      </c>
      <c r="Y330" s="4" t="s">
        <v>15</v>
      </c>
      <c r="AA330" s="4" t="s">
        <v>766</v>
      </c>
      <c r="AC330" s="4" t="s">
        <v>774</v>
      </c>
      <c r="AD330" s="6" t="s">
        <v>775</v>
      </c>
      <c r="AE330" s="12" t="s">
        <v>814</v>
      </c>
      <c r="AF330" s="12">
        <v>3.3</v>
      </c>
      <c r="AG330" s="6"/>
      <c r="AI330" s="4">
        <v>2.5</v>
      </c>
      <c r="AJ330" s="4">
        <v>4.2</v>
      </c>
      <c r="AL330" s="4" t="s">
        <v>776</v>
      </c>
      <c r="AM330" s="10"/>
      <c r="AP330" s="15">
        <v>5000</v>
      </c>
      <c r="AQ330" s="4">
        <v>20</v>
      </c>
      <c r="AR330" s="7">
        <v>4</v>
      </c>
      <c r="AS330" s="7">
        <v>4</v>
      </c>
      <c r="AT330" s="7" t="s">
        <v>93</v>
      </c>
      <c r="AV330" s="4">
        <v>170</v>
      </c>
      <c r="AW330" s="7">
        <f t="shared" si="181"/>
        <v>680</v>
      </c>
      <c r="AX330" s="7">
        <f t="shared" si="182"/>
        <v>680</v>
      </c>
      <c r="AY330" s="4">
        <v>128</v>
      </c>
      <c r="AZ330" s="4">
        <v>129</v>
      </c>
      <c r="BA330" s="4">
        <v>131</v>
      </c>
      <c r="BB330" s="4">
        <v>122</v>
      </c>
      <c r="BD330" s="4">
        <f t="shared" si="183"/>
        <v>1.0234375</v>
      </c>
      <c r="BE330" s="4">
        <f t="shared" si="184"/>
        <v>-0.06</v>
      </c>
      <c r="BG330" s="7">
        <v>1</v>
      </c>
    </row>
    <row r="331" spans="1:59" s="1" customFormat="1" ht="19.5" customHeight="1" x14ac:dyDescent="0.2">
      <c r="A331" s="1">
        <v>25</v>
      </c>
      <c r="B331" s="1" t="s">
        <v>93</v>
      </c>
      <c r="C331" s="1" t="s">
        <v>238</v>
      </c>
      <c r="D331" s="1" t="s">
        <v>210</v>
      </c>
      <c r="F331" s="13"/>
      <c r="G331" s="12" t="e">
        <f t="shared" si="185"/>
        <v>#DIV/0!</v>
      </c>
      <c r="P331" s="1" t="s">
        <v>778</v>
      </c>
      <c r="Q331" s="1">
        <f>138/141</f>
        <v>0.97872340425531912</v>
      </c>
      <c r="R331" s="3">
        <f>107/138</f>
        <v>0.77536231884057971</v>
      </c>
      <c r="T331" s="1" t="s">
        <v>777</v>
      </c>
      <c r="V331" s="1">
        <v>5</v>
      </c>
      <c r="W331" s="1" t="s">
        <v>67</v>
      </c>
      <c r="Y331" s="1" t="s">
        <v>15</v>
      </c>
      <c r="AA331" s="1" t="s">
        <v>766</v>
      </c>
      <c r="AC331" s="1" t="s">
        <v>774</v>
      </c>
      <c r="AD331" s="5" t="s">
        <v>775</v>
      </c>
      <c r="AE331" s="13" t="s">
        <v>814</v>
      </c>
      <c r="AF331" s="13"/>
      <c r="AG331" s="5"/>
      <c r="AI331" s="1">
        <v>2.5</v>
      </c>
      <c r="AJ331" s="1">
        <v>4.2</v>
      </c>
      <c r="AL331" s="1" t="s">
        <v>776</v>
      </c>
      <c r="AM331" s="2"/>
      <c r="AN331" s="3"/>
      <c r="AP331" s="15">
        <v>5000</v>
      </c>
      <c r="AQ331" s="1">
        <v>20</v>
      </c>
      <c r="AR331" s="3">
        <v>10</v>
      </c>
      <c r="AS331" s="3">
        <v>10</v>
      </c>
      <c r="AT331" s="3" t="s">
        <v>93</v>
      </c>
      <c r="AU331" s="3"/>
      <c r="AV331" s="1">
        <v>170</v>
      </c>
      <c r="AW331" s="3">
        <f>AV331*AR331</f>
        <v>1700</v>
      </c>
      <c r="AX331" s="3">
        <f t="shared" si="182"/>
        <v>1700</v>
      </c>
      <c r="AY331" s="1">
        <v>107</v>
      </c>
      <c r="AZ331" s="1">
        <v>111</v>
      </c>
      <c r="BA331" s="1">
        <v>112</v>
      </c>
      <c r="BB331" s="1">
        <v>113</v>
      </c>
      <c r="BD331" s="1">
        <f t="shared" si="183"/>
        <v>1.0467289719626167</v>
      </c>
      <c r="BE331" s="1">
        <f t="shared" si="184"/>
        <v>-0.1</v>
      </c>
      <c r="BG331" s="3"/>
    </row>
    <row r="332" spans="1:59" ht="17.25" customHeight="1" x14ac:dyDescent="0.2">
      <c r="A332" s="4">
        <v>25</v>
      </c>
      <c r="B332" s="4" t="s">
        <v>93</v>
      </c>
      <c r="C332" s="4" t="s">
        <v>238</v>
      </c>
      <c r="D332" s="4" t="s">
        <v>210</v>
      </c>
      <c r="F332" s="12"/>
      <c r="G332" s="12" t="e">
        <f t="shared" si="185"/>
        <v>#DIV/0!</v>
      </c>
      <c r="P332" s="4" t="s">
        <v>778</v>
      </c>
      <c r="Q332" s="4">
        <f>138/141</f>
        <v>0.97872340425531912</v>
      </c>
      <c r="R332" s="7">
        <f>107/138</f>
        <v>0.77536231884057971</v>
      </c>
      <c r="T332" s="4" t="s">
        <v>777</v>
      </c>
      <c r="V332" s="4">
        <v>5</v>
      </c>
      <c r="W332" s="4" t="s">
        <v>67</v>
      </c>
      <c r="Y332" s="4" t="s">
        <v>15</v>
      </c>
      <c r="AA332" s="4" t="s">
        <v>766</v>
      </c>
      <c r="AC332" s="4" t="s">
        <v>774</v>
      </c>
      <c r="AD332" s="6" t="s">
        <v>775</v>
      </c>
      <c r="AE332" s="12" t="s">
        <v>814</v>
      </c>
      <c r="AF332" s="12"/>
      <c r="AG332" s="6"/>
      <c r="AI332" s="4">
        <v>2.5</v>
      </c>
      <c r="AJ332" s="4">
        <v>4.2</v>
      </c>
      <c r="AL332" s="4" t="s">
        <v>776</v>
      </c>
      <c r="AM332" s="10"/>
      <c r="AP332" s="15">
        <v>5000</v>
      </c>
      <c r="AQ332" s="4">
        <v>20</v>
      </c>
      <c r="AR332" s="7">
        <v>16</v>
      </c>
      <c r="AS332" s="7">
        <v>16</v>
      </c>
      <c r="AT332" s="7" t="s">
        <v>93</v>
      </c>
      <c r="AV332" s="4">
        <v>170</v>
      </c>
      <c r="AW332" s="7">
        <f>AV332*AR332</f>
        <v>2720</v>
      </c>
      <c r="AX332" s="7">
        <f>AS332*AV332</f>
        <v>2720</v>
      </c>
      <c r="AY332" s="4">
        <v>92</v>
      </c>
      <c r="AZ332" s="4">
        <v>86</v>
      </c>
      <c r="BA332" s="4">
        <v>87</v>
      </c>
      <c r="BB332" s="4">
        <v>91</v>
      </c>
      <c r="BD332" s="4">
        <f t="shared" si="183"/>
        <v>0.94565217391304346</v>
      </c>
      <c r="BE332" s="4">
        <f t="shared" si="184"/>
        <v>0.1</v>
      </c>
    </row>
    <row r="333" spans="1:59" s="1" customFormat="1" ht="19.5" customHeight="1" x14ac:dyDescent="0.2">
      <c r="A333" s="1">
        <v>25</v>
      </c>
      <c r="B333" s="1" t="s">
        <v>93</v>
      </c>
      <c r="C333" s="1" t="s">
        <v>238</v>
      </c>
      <c r="D333" s="1" t="s">
        <v>210</v>
      </c>
      <c r="F333" s="13">
        <v>3.4</v>
      </c>
      <c r="G333" s="12">
        <f t="shared" si="185"/>
        <v>3.4350000000000001</v>
      </c>
      <c r="H333" s="1">
        <v>3.46</v>
      </c>
      <c r="L333" s="1">
        <v>3.41</v>
      </c>
      <c r="P333" s="1" t="s">
        <v>778</v>
      </c>
      <c r="Q333" s="1">
        <f>138/141</f>
        <v>0.97872340425531912</v>
      </c>
      <c r="R333" s="3">
        <f>107/138</f>
        <v>0.77536231884057971</v>
      </c>
      <c r="T333" s="1" t="s">
        <v>777</v>
      </c>
      <c r="V333" s="1">
        <v>5</v>
      </c>
      <c r="W333" s="1" t="s">
        <v>67</v>
      </c>
      <c r="Y333" s="1" t="s">
        <v>15</v>
      </c>
      <c r="AA333" s="1" t="s">
        <v>766</v>
      </c>
      <c r="AC333" s="1" t="s">
        <v>774</v>
      </c>
      <c r="AD333" s="5" t="s">
        <v>775</v>
      </c>
      <c r="AE333" s="13" t="s">
        <v>814</v>
      </c>
      <c r="AF333" s="13">
        <v>3.4</v>
      </c>
      <c r="AG333" s="5"/>
      <c r="AI333" s="1">
        <v>2.5</v>
      </c>
      <c r="AJ333" s="1">
        <v>4.2</v>
      </c>
      <c r="AL333" s="1" t="s">
        <v>776</v>
      </c>
      <c r="AM333" s="2"/>
      <c r="AN333" s="3"/>
      <c r="AP333" s="15">
        <v>5000</v>
      </c>
      <c r="AQ333" s="1">
        <v>20</v>
      </c>
      <c r="AR333" s="3">
        <v>0.2</v>
      </c>
      <c r="AS333" s="3">
        <v>0.2</v>
      </c>
      <c r="AT333" s="3" t="s">
        <v>93</v>
      </c>
      <c r="AU333" s="3"/>
      <c r="AV333" s="1">
        <v>170</v>
      </c>
      <c r="AW333" s="3">
        <f t="shared" ref="AW333" si="186">AV333*AR333</f>
        <v>34</v>
      </c>
      <c r="AX333" s="3">
        <f t="shared" ref="AX333" si="187">AS333*AV333</f>
        <v>34</v>
      </c>
      <c r="AY333" s="1">
        <v>141</v>
      </c>
      <c r="AZ333" s="1">
        <v>141</v>
      </c>
      <c r="BA333" s="1">
        <v>141</v>
      </c>
      <c r="BB333" s="1">
        <v>141</v>
      </c>
      <c r="BD333" s="1">
        <f t="shared" si="183"/>
        <v>1</v>
      </c>
      <c r="BE333" s="1">
        <f t="shared" si="184"/>
        <v>0</v>
      </c>
      <c r="BG333" s="3">
        <v>1</v>
      </c>
    </row>
    <row r="334" spans="1:59" ht="17.25" customHeight="1" x14ac:dyDescent="0.2">
      <c r="A334" s="4" t="s">
        <v>167</v>
      </c>
      <c r="B334" s="4" t="s">
        <v>119</v>
      </c>
      <c r="C334" s="4" t="s">
        <v>238</v>
      </c>
      <c r="D334" s="4" t="s">
        <v>210</v>
      </c>
      <c r="F334" s="12">
        <v>4.7</v>
      </c>
      <c r="G334" s="12">
        <f t="shared" si="185"/>
        <v>4.3499999999999996</v>
      </c>
      <c r="H334" s="4">
        <v>4</v>
      </c>
      <c r="I334" s="4">
        <v>4.7</v>
      </c>
      <c r="L334" s="4">
        <v>4</v>
      </c>
      <c r="M334" s="4">
        <v>4.7</v>
      </c>
      <c r="T334" s="4" t="s">
        <v>693</v>
      </c>
      <c r="V334" s="4">
        <v>2</v>
      </c>
      <c r="W334" s="4" t="s">
        <v>783</v>
      </c>
      <c r="Y334" s="4" t="s">
        <v>15</v>
      </c>
      <c r="AA334" s="4" t="s">
        <v>782</v>
      </c>
      <c r="AC334" s="4" t="s">
        <v>779</v>
      </c>
      <c r="AD334" s="6" t="s">
        <v>780</v>
      </c>
      <c r="AE334" s="12" t="s">
        <v>820</v>
      </c>
      <c r="AF334" s="12">
        <v>4.7</v>
      </c>
      <c r="AG334" s="6"/>
      <c r="AI334" s="4">
        <v>3.2</v>
      </c>
      <c r="AJ334" s="4">
        <v>4.95</v>
      </c>
      <c r="AL334" s="4" t="s">
        <v>405</v>
      </c>
      <c r="AM334" s="10" t="s">
        <v>781</v>
      </c>
      <c r="AP334" s="15">
        <v>5</v>
      </c>
      <c r="AQ334" s="4">
        <v>5</v>
      </c>
      <c r="AW334" s="7">
        <v>120</v>
      </c>
      <c r="AX334" s="7">
        <v>120</v>
      </c>
      <c r="AY334" s="4">
        <v>123</v>
      </c>
      <c r="AZ334" s="4">
        <v>124</v>
      </c>
      <c r="BA334" s="4">
        <v>124</v>
      </c>
      <c r="BD334" s="4">
        <f t="shared" si="183"/>
        <v>1.0081300813008129</v>
      </c>
      <c r="BE334" s="4">
        <f t="shared" si="184"/>
        <v>-0.02</v>
      </c>
      <c r="BG334" s="7">
        <f>AY334/134</f>
        <v>0.91791044776119401</v>
      </c>
    </row>
    <row r="335" spans="1:59" s="1" customFormat="1" ht="19.5" customHeight="1" x14ac:dyDescent="0.2">
      <c r="A335" s="1" t="s">
        <v>167</v>
      </c>
      <c r="B335" s="1" t="s">
        <v>119</v>
      </c>
      <c r="C335" s="1" t="s">
        <v>238</v>
      </c>
      <c r="D335" s="1" t="s">
        <v>210</v>
      </c>
      <c r="F335" s="13">
        <v>4.7</v>
      </c>
      <c r="G335" s="12">
        <f t="shared" si="185"/>
        <v>4.3499999999999996</v>
      </c>
      <c r="H335" s="1">
        <v>4</v>
      </c>
      <c r="I335" s="1">
        <v>4.7</v>
      </c>
      <c r="L335" s="1">
        <v>4</v>
      </c>
      <c r="M335" s="1">
        <v>4.7</v>
      </c>
      <c r="R335" s="3"/>
      <c r="T335" s="1" t="s">
        <v>784</v>
      </c>
      <c r="V335" s="1">
        <v>2</v>
      </c>
      <c r="W335" s="1" t="s">
        <v>783</v>
      </c>
      <c r="Y335" s="1" t="s">
        <v>15</v>
      </c>
      <c r="AA335" s="1" t="s">
        <v>782</v>
      </c>
      <c r="AC335" s="1" t="s">
        <v>779</v>
      </c>
      <c r="AD335" s="5" t="s">
        <v>780</v>
      </c>
      <c r="AE335" s="13" t="s">
        <v>820</v>
      </c>
      <c r="AF335" s="13">
        <v>4.7</v>
      </c>
      <c r="AG335" s="5"/>
      <c r="AI335" s="1">
        <v>3.2</v>
      </c>
      <c r="AJ335" s="1">
        <v>4.95</v>
      </c>
      <c r="AL335" s="1" t="s">
        <v>405</v>
      </c>
      <c r="AM335" s="2" t="s">
        <v>781</v>
      </c>
      <c r="AN335" s="3"/>
      <c r="AP335" s="15">
        <v>5</v>
      </c>
      <c r="AQ335" s="1">
        <v>5</v>
      </c>
      <c r="AR335" s="3"/>
      <c r="AS335" s="3"/>
      <c r="AT335" s="3"/>
      <c r="AU335" s="3"/>
      <c r="AW335" s="3">
        <v>120</v>
      </c>
      <c r="AX335" s="3">
        <v>120</v>
      </c>
      <c r="AY335" s="1">
        <v>117</v>
      </c>
      <c r="AZ335" s="1">
        <v>118</v>
      </c>
      <c r="BA335" s="1">
        <v>118</v>
      </c>
      <c r="BD335" s="1">
        <f t="shared" si="183"/>
        <v>1.0085470085470085</v>
      </c>
      <c r="BE335" s="1">
        <f t="shared" si="184"/>
        <v>-0.02</v>
      </c>
      <c r="BG335" s="3">
        <f>AY335/130</f>
        <v>0.9</v>
      </c>
    </row>
    <row r="336" spans="1:59" ht="17.25" customHeight="1" x14ac:dyDescent="0.2">
      <c r="A336" s="4" t="s">
        <v>167</v>
      </c>
      <c r="B336" s="4" t="s">
        <v>119</v>
      </c>
      <c r="C336" s="4" t="s">
        <v>238</v>
      </c>
      <c r="D336" s="4" t="s">
        <v>210</v>
      </c>
      <c r="F336" s="12">
        <v>4.5999999999999996</v>
      </c>
      <c r="G336" s="12">
        <f t="shared" si="185"/>
        <v>4.3499999999999996</v>
      </c>
      <c r="H336" s="4">
        <v>4</v>
      </c>
      <c r="I336" s="4">
        <v>4.7</v>
      </c>
      <c r="L336" s="4">
        <v>4</v>
      </c>
      <c r="M336" s="4">
        <v>4.7</v>
      </c>
      <c r="T336" s="4" t="s">
        <v>785</v>
      </c>
      <c r="V336" s="4">
        <v>2</v>
      </c>
      <c r="W336" s="4" t="s">
        <v>783</v>
      </c>
      <c r="Y336" s="4" t="s">
        <v>15</v>
      </c>
      <c r="AA336" s="4" t="s">
        <v>782</v>
      </c>
      <c r="AC336" s="4" t="s">
        <v>779</v>
      </c>
      <c r="AD336" s="6" t="s">
        <v>780</v>
      </c>
      <c r="AE336" s="12" t="s">
        <v>820</v>
      </c>
      <c r="AF336" s="12">
        <v>4.5999999999999996</v>
      </c>
      <c r="AG336" s="6"/>
      <c r="AI336" s="4">
        <v>3.2</v>
      </c>
      <c r="AJ336" s="4">
        <v>4.95</v>
      </c>
      <c r="AL336" s="4" t="s">
        <v>405</v>
      </c>
      <c r="AM336" s="10" t="s">
        <v>781</v>
      </c>
      <c r="AP336" s="15">
        <v>5</v>
      </c>
      <c r="AQ336" s="4">
        <v>5</v>
      </c>
      <c r="AW336" s="7">
        <v>120</v>
      </c>
      <c r="AX336" s="7">
        <v>120</v>
      </c>
      <c r="AY336" s="4">
        <v>116</v>
      </c>
      <c r="AZ336" s="4">
        <v>116</v>
      </c>
      <c r="BA336" s="4">
        <v>116</v>
      </c>
      <c r="BD336" s="4">
        <f t="shared" si="183"/>
        <v>1</v>
      </c>
      <c r="BE336" s="4">
        <f t="shared" si="184"/>
        <v>0</v>
      </c>
      <c r="BG336" s="7">
        <f>AY336/127</f>
        <v>0.91338582677165359</v>
      </c>
    </row>
    <row r="337" spans="1:59" s="1" customFormat="1" ht="19.5" customHeight="1" x14ac:dyDescent="0.2">
      <c r="A337" s="1">
        <v>55</v>
      </c>
      <c r="B337" s="1" t="s">
        <v>119</v>
      </c>
      <c r="C337" s="1" t="s">
        <v>238</v>
      </c>
      <c r="D337" s="1" t="s">
        <v>210</v>
      </c>
      <c r="F337" s="13"/>
      <c r="G337" s="12">
        <f t="shared" si="185"/>
        <v>4.3499999999999996</v>
      </c>
      <c r="H337" s="1">
        <v>4</v>
      </c>
      <c r="I337" s="1">
        <v>4.7</v>
      </c>
      <c r="L337" s="1">
        <v>4</v>
      </c>
      <c r="M337" s="1">
        <v>4.7</v>
      </c>
      <c r="R337" s="3"/>
      <c r="T337" s="1" t="s">
        <v>693</v>
      </c>
      <c r="V337" s="1">
        <v>2</v>
      </c>
      <c r="W337" s="1" t="s">
        <v>783</v>
      </c>
      <c r="Y337" s="1" t="s">
        <v>15</v>
      </c>
      <c r="AA337" s="1" t="s">
        <v>782</v>
      </c>
      <c r="AC337" s="1" t="s">
        <v>779</v>
      </c>
      <c r="AD337" s="5" t="s">
        <v>780</v>
      </c>
      <c r="AE337" s="13" t="s">
        <v>820</v>
      </c>
      <c r="AF337" s="13"/>
      <c r="AG337" s="5"/>
      <c r="AI337" s="1">
        <v>3.2</v>
      </c>
      <c r="AJ337" s="1">
        <v>4.95</v>
      </c>
      <c r="AL337" s="1" t="s">
        <v>405</v>
      </c>
      <c r="AM337" s="2" t="s">
        <v>781</v>
      </c>
      <c r="AN337" s="3"/>
      <c r="AP337" s="15">
        <v>5</v>
      </c>
      <c r="AQ337" s="1">
        <v>5</v>
      </c>
      <c r="AR337" s="3"/>
      <c r="AS337" s="3"/>
      <c r="AT337" s="3"/>
      <c r="AU337" s="3"/>
      <c r="AW337" s="3">
        <v>120</v>
      </c>
      <c r="AX337" s="3">
        <v>120</v>
      </c>
      <c r="AY337" s="1">
        <v>126</v>
      </c>
      <c r="AZ337" s="1">
        <v>120</v>
      </c>
      <c r="BA337" s="1">
        <v>93</v>
      </c>
      <c r="BD337" s="1">
        <f t="shared" si="183"/>
        <v>0.73809523809523814</v>
      </c>
      <c r="BE337" s="1">
        <f t="shared" si="184"/>
        <v>0.66</v>
      </c>
      <c r="BG337" s="3"/>
    </row>
    <row r="338" spans="1:59" ht="17.25" customHeight="1" x14ac:dyDescent="0.2">
      <c r="A338" s="4">
        <v>55</v>
      </c>
      <c r="B338" s="4" t="s">
        <v>119</v>
      </c>
      <c r="C338" s="4" t="s">
        <v>238</v>
      </c>
      <c r="D338" s="4" t="s">
        <v>210</v>
      </c>
      <c r="F338" s="12"/>
      <c r="G338" s="12">
        <f t="shared" si="185"/>
        <v>4.3499999999999996</v>
      </c>
      <c r="H338" s="4">
        <v>4</v>
      </c>
      <c r="I338" s="4">
        <v>4.7</v>
      </c>
      <c r="L338" s="4">
        <v>4</v>
      </c>
      <c r="M338" s="4">
        <v>4.7</v>
      </c>
      <c r="T338" s="4" t="s">
        <v>784</v>
      </c>
      <c r="V338" s="4">
        <v>2</v>
      </c>
      <c r="W338" s="4" t="s">
        <v>783</v>
      </c>
      <c r="Y338" s="4" t="s">
        <v>15</v>
      </c>
      <c r="AA338" s="4" t="s">
        <v>782</v>
      </c>
      <c r="AC338" s="4" t="s">
        <v>779</v>
      </c>
      <c r="AD338" s="6" t="s">
        <v>780</v>
      </c>
      <c r="AE338" s="12" t="s">
        <v>820</v>
      </c>
      <c r="AF338" s="12"/>
      <c r="AG338" s="6"/>
      <c r="AI338" s="4">
        <v>3.2</v>
      </c>
      <c r="AJ338" s="4">
        <v>4.95</v>
      </c>
      <c r="AL338" s="4" t="s">
        <v>405</v>
      </c>
      <c r="AM338" s="10" t="s">
        <v>781</v>
      </c>
      <c r="AP338" s="15">
        <v>5</v>
      </c>
      <c r="AQ338" s="4">
        <v>5</v>
      </c>
      <c r="AW338" s="7">
        <v>120</v>
      </c>
      <c r="AX338" s="7">
        <v>120</v>
      </c>
      <c r="AY338" s="4">
        <v>123</v>
      </c>
      <c r="AZ338" s="4">
        <v>120</v>
      </c>
      <c r="BA338" s="4">
        <v>103</v>
      </c>
      <c r="BD338" s="4">
        <f t="shared" si="183"/>
        <v>0.83739837398373984</v>
      </c>
      <c r="BE338" s="4">
        <f t="shared" si="184"/>
        <v>0.4</v>
      </c>
    </row>
    <row r="339" spans="1:59" s="1" customFormat="1" ht="19.5" customHeight="1" x14ac:dyDescent="0.2">
      <c r="A339" s="1">
        <v>55</v>
      </c>
      <c r="B339" s="1" t="s">
        <v>119</v>
      </c>
      <c r="C339" s="1" t="s">
        <v>238</v>
      </c>
      <c r="D339" s="1" t="s">
        <v>210</v>
      </c>
      <c r="F339" s="13"/>
      <c r="G339" s="12">
        <f t="shared" si="185"/>
        <v>4.3499999999999996</v>
      </c>
      <c r="H339" s="1">
        <v>4</v>
      </c>
      <c r="I339" s="1">
        <v>4.7</v>
      </c>
      <c r="L339" s="1">
        <v>4</v>
      </c>
      <c r="M339" s="1">
        <v>4.7</v>
      </c>
      <c r="R339" s="3"/>
      <c r="T339" s="1" t="s">
        <v>785</v>
      </c>
      <c r="V339" s="1">
        <v>2</v>
      </c>
      <c r="W339" s="1" t="s">
        <v>783</v>
      </c>
      <c r="Y339" s="1" t="s">
        <v>15</v>
      </c>
      <c r="AA339" s="1" t="s">
        <v>782</v>
      </c>
      <c r="AC339" s="1" t="s">
        <v>779</v>
      </c>
      <c r="AD339" s="5" t="s">
        <v>780</v>
      </c>
      <c r="AE339" s="13" t="s">
        <v>820</v>
      </c>
      <c r="AF339" s="13"/>
      <c r="AG339" s="5"/>
      <c r="AI339" s="1">
        <v>3.2</v>
      </c>
      <c r="AJ339" s="1">
        <v>4.95</v>
      </c>
      <c r="AL339" s="1" t="s">
        <v>405</v>
      </c>
      <c r="AM339" s="2" t="s">
        <v>781</v>
      </c>
      <c r="AN339" s="3"/>
      <c r="AP339" s="15">
        <v>5</v>
      </c>
      <c r="AQ339" s="1">
        <v>5</v>
      </c>
      <c r="AR339" s="3"/>
      <c r="AS339" s="3"/>
      <c r="AT339" s="3"/>
      <c r="AU339" s="3"/>
      <c r="AW339" s="3">
        <v>120</v>
      </c>
      <c r="AX339" s="3">
        <v>120</v>
      </c>
      <c r="AY339" s="1">
        <v>119</v>
      </c>
      <c r="AZ339" s="1">
        <v>116</v>
      </c>
      <c r="BA339" s="1">
        <v>115</v>
      </c>
      <c r="BD339" s="1">
        <f t="shared" si="183"/>
        <v>0.96638655462184875</v>
      </c>
      <c r="BE339" s="1">
        <f t="shared" si="184"/>
        <v>0.08</v>
      </c>
      <c r="BG339" s="3"/>
    </row>
    <row r="340" spans="1:59" ht="17.25" customHeight="1" x14ac:dyDescent="0.2">
      <c r="A340" s="4">
        <v>60</v>
      </c>
      <c r="B340" s="4" t="s">
        <v>791</v>
      </c>
      <c r="C340" s="4" t="s">
        <v>790</v>
      </c>
      <c r="D340" s="4" t="s">
        <v>210</v>
      </c>
      <c r="F340" s="12" t="s">
        <v>829</v>
      </c>
      <c r="G340" s="12" t="e">
        <f t="shared" si="185"/>
        <v>#DIV/0!</v>
      </c>
      <c r="T340" s="4" t="s">
        <v>793</v>
      </c>
      <c r="V340" s="4">
        <v>2</v>
      </c>
      <c r="W340" s="4" t="s">
        <v>788</v>
      </c>
      <c r="Y340" s="4" t="s">
        <v>15</v>
      </c>
      <c r="AA340" s="4" t="s">
        <v>789</v>
      </c>
      <c r="AC340" s="4" t="s">
        <v>786</v>
      </c>
      <c r="AD340" s="6" t="s">
        <v>787</v>
      </c>
      <c r="AE340" s="12" t="s">
        <v>820</v>
      </c>
      <c r="AF340" s="12" t="s">
        <v>829</v>
      </c>
      <c r="AG340" s="6"/>
      <c r="AI340" s="4">
        <v>3.5</v>
      </c>
      <c r="AJ340" s="4">
        <v>5</v>
      </c>
      <c r="AL340" s="4" t="s">
        <v>353</v>
      </c>
      <c r="AM340" s="10"/>
      <c r="AW340" s="7">
        <v>44</v>
      </c>
      <c r="AX340" s="7">
        <v>44</v>
      </c>
      <c r="AY340" s="4">
        <v>124</v>
      </c>
      <c r="AZ340" s="4">
        <v>118</v>
      </c>
      <c r="BA340" s="4">
        <v>114</v>
      </c>
      <c r="BD340" s="4">
        <f t="shared" si="183"/>
        <v>0.91935483870967738</v>
      </c>
      <c r="BE340" s="4">
        <f t="shared" si="184"/>
        <v>0.2</v>
      </c>
      <c r="BG340" s="7">
        <v>84</v>
      </c>
    </row>
    <row r="341" spans="1:59" s="1" customFormat="1" ht="19.5" customHeight="1" x14ac:dyDescent="0.2">
      <c r="A341" s="1">
        <v>60</v>
      </c>
      <c r="B341" s="1" t="s">
        <v>791</v>
      </c>
      <c r="C341" s="1" t="s">
        <v>790</v>
      </c>
      <c r="D341" s="1" t="s">
        <v>210</v>
      </c>
      <c r="F341" s="13" t="s">
        <v>829</v>
      </c>
      <c r="G341" s="12" t="e">
        <f t="shared" si="185"/>
        <v>#DIV/0!</v>
      </c>
      <c r="R341" s="3"/>
      <c r="T341" s="1" t="s">
        <v>794</v>
      </c>
      <c r="V341" s="1">
        <v>2</v>
      </c>
      <c r="W341" s="1" t="s">
        <v>788</v>
      </c>
      <c r="Y341" s="1" t="s">
        <v>15</v>
      </c>
      <c r="AA341" s="1" t="s">
        <v>789</v>
      </c>
      <c r="AC341" s="1" t="s">
        <v>786</v>
      </c>
      <c r="AD341" s="5" t="s">
        <v>787</v>
      </c>
      <c r="AE341" s="13" t="s">
        <v>820</v>
      </c>
      <c r="AF341" s="13" t="s">
        <v>829</v>
      </c>
      <c r="AG341" s="5"/>
      <c r="AI341" s="1">
        <v>3.5</v>
      </c>
      <c r="AJ341" s="1">
        <v>5</v>
      </c>
      <c r="AL341" s="1" t="s">
        <v>353</v>
      </c>
      <c r="AM341" s="2"/>
      <c r="AN341" s="3"/>
      <c r="AP341" s="15"/>
      <c r="AR341" s="3"/>
      <c r="AS341" s="3"/>
      <c r="AT341" s="3"/>
      <c r="AU341" s="3"/>
      <c r="AW341" s="3">
        <v>44</v>
      </c>
      <c r="AX341" s="3">
        <v>44</v>
      </c>
      <c r="AY341" s="1">
        <v>124</v>
      </c>
      <c r="AZ341" s="1">
        <v>117</v>
      </c>
      <c r="BA341" s="1">
        <v>110</v>
      </c>
      <c r="BD341" s="1">
        <f t="shared" si="183"/>
        <v>0.88709677419354838</v>
      </c>
      <c r="BE341" s="1">
        <f t="shared" si="184"/>
        <v>0.28000000000000003</v>
      </c>
      <c r="BG341" s="3">
        <v>91</v>
      </c>
    </row>
    <row r="342" spans="1:59" ht="17.25" customHeight="1" x14ac:dyDescent="0.2">
      <c r="A342" s="4">
        <v>60</v>
      </c>
      <c r="B342" s="4" t="s">
        <v>791</v>
      </c>
      <c r="C342" s="4" t="s">
        <v>790</v>
      </c>
      <c r="D342" s="4" t="s">
        <v>210</v>
      </c>
      <c r="F342" s="12" t="s">
        <v>829</v>
      </c>
      <c r="G342" s="12" t="e">
        <f t="shared" si="185"/>
        <v>#DIV/0!</v>
      </c>
      <c r="T342" s="4" t="s">
        <v>795</v>
      </c>
      <c r="V342" s="4">
        <v>2</v>
      </c>
      <c r="W342" s="4" t="s">
        <v>788</v>
      </c>
      <c r="Y342" s="4" t="s">
        <v>15</v>
      </c>
      <c r="AA342" s="4" t="s">
        <v>789</v>
      </c>
      <c r="AC342" s="4" t="s">
        <v>786</v>
      </c>
      <c r="AD342" s="6" t="s">
        <v>787</v>
      </c>
      <c r="AE342" s="12" t="s">
        <v>820</v>
      </c>
      <c r="AF342" s="12" t="s">
        <v>829</v>
      </c>
      <c r="AG342" s="6"/>
      <c r="AI342" s="4">
        <v>3.5</v>
      </c>
      <c r="AJ342" s="4">
        <v>5</v>
      </c>
      <c r="AL342" s="4" t="s">
        <v>353</v>
      </c>
      <c r="AM342" s="10"/>
      <c r="AW342" s="7">
        <v>44</v>
      </c>
      <c r="AX342" s="7">
        <v>44</v>
      </c>
      <c r="AY342" s="4">
        <v>122</v>
      </c>
      <c r="AZ342" s="4">
        <v>123</v>
      </c>
      <c r="BA342" s="4">
        <v>120</v>
      </c>
      <c r="BD342" s="4">
        <f t="shared" si="183"/>
        <v>0.98360655737704916</v>
      </c>
      <c r="BE342" s="4">
        <f t="shared" si="184"/>
        <v>0.04</v>
      </c>
      <c r="BG342" s="7">
        <v>91</v>
      </c>
    </row>
    <row r="343" spans="1:59" s="1" customFormat="1" ht="19.5" customHeight="1" x14ac:dyDescent="0.2">
      <c r="A343" s="1">
        <v>60</v>
      </c>
      <c r="B343" s="1" t="s">
        <v>791</v>
      </c>
      <c r="C343" s="1" t="s">
        <v>790</v>
      </c>
      <c r="D343" s="1" t="s">
        <v>210</v>
      </c>
      <c r="F343" s="13" t="s">
        <v>829</v>
      </c>
      <c r="G343" s="12" t="e">
        <f t="shared" si="185"/>
        <v>#DIV/0!</v>
      </c>
      <c r="R343" s="3"/>
      <c r="T343" s="1" t="s">
        <v>796</v>
      </c>
      <c r="V343" s="1">
        <v>2</v>
      </c>
      <c r="W343" s="1" t="s">
        <v>788</v>
      </c>
      <c r="Y343" s="1" t="s">
        <v>15</v>
      </c>
      <c r="AA343" s="1" t="s">
        <v>789</v>
      </c>
      <c r="AC343" s="1" t="s">
        <v>786</v>
      </c>
      <c r="AD343" s="5" t="s">
        <v>787</v>
      </c>
      <c r="AE343" s="13" t="s">
        <v>820</v>
      </c>
      <c r="AF343" s="13" t="s">
        <v>829</v>
      </c>
      <c r="AG343" s="5"/>
      <c r="AI343" s="1">
        <v>3.5</v>
      </c>
      <c r="AJ343" s="1">
        <v>5</v>
      </c>
      <c r="AL343" s="1" t="s">
        <v>353</v>
      </c>
      <c r="AM343" s="2"/>
      <c r="AN343" s="3"/>
      <c r="AP343" s="15"/>
      <c r="AR343" s="3"/>
      <c r="AS343" s="3"/>
      <c r="AT343" s="3"/>
      <c r="AU343" s="3"/>
      <c r="AW343" s="3">
        <v>44</v>
      </c>
      <c r="AX343" s="3">
        <v>44</v>
      </c>
      <c r="AY343" s="1">
        <v>112</v>
      </c>
      <c r="AZ343" s="1">
        <v>108</v>
      </c>
      <c r="BA343" s="1">
        <v>101</v>
      </c>
      <c r="BD343" s="1">
        <f t="shared" si="183"/>
        <v>0.9017857142857143</v>
      </c>
      <c r="BE343" s="1">
        <f t="shared" si="184"/>
        <v>0.22</v>
      </c>
      <c r="BG343" s="3">
        <v>89</v>
      </c>
    </row>
    <row r="344" spans="1:59" ht="17.25" customHeight="1" x14ac:dyDescent="0.2">
      <c r="A344" s="4">
        <v>60</v>
      </c>
      <c r="B344" s="4" t="s">
        <v>791</v>
      </c>
      <c r="C344" s="4" t="s">
        <v>790</v>
      </c>
      <c r="D344" s="4" t="s">
        <v>210</v>
      </c>
      <c r="F344" s="12" t="s">
        <v>829</v>
      </c>
      <c r="G344" s="12" t="e">
        <f t="shared" si="185"/>
        <v>#DIV/0!</v>
      </c>
      <c r="T344" s="4" t="s">
        <v>792</v>
      </c>
      <c r="V344" s="4">
        <v>2</v>
      </c>
      <c r="W344" s="4" t="s">
        <v>788</v>
      </c>
      <c r="Y344" s="4" t="s">
        <v>15</v>
      </c>
      <c r="AA344" s="4" t="s">
        <v>789</v>
      </c>
      <c r="AC344" s="4" t="s">
        <v>786</v>
      </c>
      <c r="AD344" s="6" t="s">
        <v>787</v>
      </c>
      <c r="AE344" s="12" t="s">
        <v>820</v>
      </c>
      <c r="AF344" s="12" t="s">
        <v>829</v>
      </c>
      <c r="AG344" s="6"/>
      <c r="AI344" s="4">
        <v>3.5</v>
      </c>
      <c r="AJ344" s="4">
        <v>5</v>
      </c>
      <c r="AL344" s="4" t="s">
        <v>353</v>
      </c>
      <c r="AM344" s="10"/>
      <c r="AW344" s="7">
        <v>44</v>
      </c>
      <c r="AX344" s="7">
        <v>44</v>
      </c>
      <c r="AY344" s="4">
        <v>125</v>
      </c>
      <c r="AZ344" s="4">
        <v>120</v>
      </c>
      <c r="BA344" s="4">
        <v>117</v>
      </c>
      <c r="BD344" s="4">
        <f t="shared" si="183"/>
        <v>0.93600000000000005</v>
      </c>
      <c r="BE344" s="4">
        <f t="shared" si="184"/>
        <v>0.16</v>
      </c>
    </row>
    <row r="345" spans="1:59" s="1" customFormat="1" ht="19.5" customHeight="1" x14ac:dyDescent="0.2">
      <c r="A345" s="1">
        <v>24</v>
      </c>
      <c r="B345" s="1" t="s">
        <v>791</v>
      </c>
      <c r="C345" s="1" t="s">
        <v>790</v>
      </c>
      <c r="D345" s="1" t="s">
        <v>210</v>
      </c>
      <c r="F345" s="13" t="s">
        <v>829</v>
      </c>
      <c r="G345" s="12" t="e">
        <f t="shared" si="185"/>
        <v>#DIV/0!</v>
      </c>
      <c r="R345" s="3"/>
      <c r="T345" s="1" t="s">
        <v>798</v>
      </c>
      <c r="V345" s="1">
        <v>2</v>
      </c>
      <c r="W345" s="1" t="s">
        <v>788</v>
      </c>
      <c r="Y345" s="1" t="s">
        <v>15</v>
      </c>
      <c r="AA345" s="1" t="s">
        <v>789</v>
      </c>
      <c r="AC345" s="1" t="s">
        <v>786</v>
      </c>
      <c r="AD345" s="5" t="s">
        <v>787</v>
      </c>
      <c r="AE345" s="13" t="s">
        <v>820</v>
      </c>
      <c r="AF345" s="13" t="s">
        <v>829</v>
      </c>
      <c r="AG345" s="5"/>
      <c r="AI345" s="1">
        <v>3.5</v>
      </c>
      <c r="AJ345" s="1">
        <v>5</v>
      </c>
      <c r="AL345" s="1" t="s">
        <v>353</v>
      </c>
      <c r="AM345" s="2"/>
      <c r="AN345" s="3"/>
      <c r="AP345" s="15"/>
      <c r="AR345" s="3"/>
      <c r="AS345" s="3"/>
      <c r="AT345" s="3"/>
      <c r="AU345" s="3"/>
      <c r="AW345" s="3">
        <v>44</v>
      </c>
      <c r="AX345" s="3">
        <v>44</v>
      </c>
      <c r="AY345" s="1">
        <v>115</v>
      </c>
      <c r="AZ345" s="1">
        <v>120</v>
      </c>
      <c r="BA345" s="1">
        <v>119</v>
      </c>
      <c r="BB345" s="1">
        <v>117</v>
      </c>
      <c r="BD345" s="1">
        <f t="shared" si="183"/>
        <v>1.0347826086956522</v>
      </c>
      <c r="BE345" s="1">
        <f t="shared" si="184"/>
        <v>-0.08</v>
      </c>
      <c r="BG345" s="3"/>
    </row>
    <row r="346" spans="1:59" ht="17.25" customHeight="1" x14ac:dyDescent="0.2">
      <c r="A346" s="4">
        <v>24</v>
      </c>
      <c r="B346" s="4" t="s">
        <v>791</v>
      </c>
      <c r="C346" s="4" t="s">
        <v>790</v>
      </c>
      <c r="D346" s="4" t="s">
        <v>210</v>
      </c>
      <c r="F346" s="12" t="s">
        <v>829</v>
      </c>
      <c r="G346" s="12" t="e">
        <f t="shared" si="185"/>
        <v>#DIV/0!</v>
      </c>
      <c r="T346" s="4" t="s">
        <v>797</v>
      </c>
      <c r="V346" s="4">
        <v>2</v>
      </c>
      <c r="W346" s="4" t="s">
        <v>788</v>
      </c>
      <c r="Y346" s="4" t="s">
        <v>15</v>
      </c>
      <c r="AA346" s="4" t="s">
        <v>789</v>
      </c>
      <c r="AC346" s="4" t="s">
        <v>786</v>
      </c>
      <c r="AD346" s="6" t="s">
        <v>787</v>
      </c>
      <c r="AE346" s="12" t="s">
        <v>820</v>
      </c>
      <c r="AF346" s="12" t="s">
        <v>829</v>
      </c>
      <c r="AG346" s="6"/>
      <c r="AI346" s="4">
        <v>3.5</v>
      </c>
      <c r="AJ346" s="4">
        <v>5</v>
      </c>
      <c r="AL346" s="4" t="s">
        <v>353</v>
      </c>
      <c r="AM346" s="10"/>
      <c r="AW346" s="7">
        <v>44</v>
      </c>
      <c r="AX346" s="7">
        <v>44</v>
      </c>
      <c r="AY346" s="4">
        <v>128</v>
      </c>
      <c r="AZ346" s="4">
        <v>126</v>
      </c>
      <c r="BA346" s="4">
        <v>125</v>
      </c>
      <c r="BB346" s="4">
        <v>121</v>
      </c>
      <c r="BD346" s="4">
        <f t="shared" si="183"/>
        <v>0.9765625</v>
      </c>
      <c r="BE346" s="4">
        <f t="shared" si="184"/>
        <v>0.06</v>
      </c>
    </row>
    <row r="347" spans="1:59" s="1" customFormat="1" ht="19.5" customHeight="1" x14ac:dyDescent="0.2">
      <c r="A347" s="1">
        <v>24</v>
      </c>
      <c r="B347" s="1" t="s">
        <v>791</v>
      </c>
      <c r="C347" s="1" t="s">
        <v>790</v>
      </c>
      <c r="D347" s="1" t="s">
        <v>210</v>
      </c>
      <c r="F347" s="13" t="s">
        <v>829</v>
      </c>
      <c r="G347" s="12" t="e">
        <f t="shared" si="185"/>
        <v>#DIV/0!</v>
      </c>
      <c r="R347" s="3"/>
      <c r="T347" s="1" t="s">
        <v>792</v>
      </c>
      <c r="V347" s="1">
        <v>2</v>
      </c>
      <c r="W347" s="1" t="s">
        <v>788</v>
      </c>
      <c r="Y347" s="1" t="s">
        <v>15</v>
      </c>
      <c r="AA347" s="1" t="s">
        <v>789</v>
      </c>
      <c r="AC347" s="1" t="s">
        <v>786</v>
      </c>
      <c r="AD347" s="5" t="s">
        <v>787</v>
      </c>
      <c r="AE347" s="13" t="s">
        <v>820</v>
      </c>
      <c r="AF347" s="13" t="s">
        <v>829</v>
      </c>
      <c r="AG347" s="5"/>
      <c r="AI347" s="1">
        <v>3.5</v>
      </c>
      <c r="AJ347" s="1">
        <v>5</v>
      </c>
      <c r="AL347" s="1" t="s">
        <v>353</v>
      </c>
      <c r="AM347" s="2"/>
      <c r="AN347" s="3"/>
      <c r="AP347" s="15"/>
      <c r="AR347" s="3"/>
      <c r="AS347" s="3"/>
      <c r="AT347" s="3"/>
      <c r="AU347" s="3"/>
      <c r="AW347" s="3">
        <v>44</v>
      </c>
      <c r="AX347" s="3">
        <v>44</v>
      </c>
      <c r="AY347" s="1">
        <v>133</v>
      </c>
      <c r="AZ347" s="1">
        <v>130</v>
      </c>
      <c r="BA347" s="1">
        <v>127</v>
      </c>
      <c r="BB347" s="1">
        <v>121</v>
      </c>
      <c r="BD347" s="1">
        <f t="shared" si="183"/>
        <v>0.95488721804511278</v>
      </c>
      <c r="BE347" s="1">
        <f t="shared" si="184"/>
        <v>0.12</v>
      </c>
      <c r="BG347" s="3"/>
    </row>
    <row r="348" spans="1:59" ht="17.25" customHeight="1" x14ac:dyDescent="0.2">
      <c r="A348" s="4">
        <v>60</v>
      </c>
      <c r="B348" s="4" t="s">
        <v>791</v>
      </c>
      <c r="C348" s="4" t="s">
        <v>790</v>
      </c>
      <c r="D348" s="4" t="s">
        <v>210</v>
      </c>
      <c r="F348" s="12" t="s">
        <v>829</v>
      </c>
      <c r="G348" s="12" t="e">
        <f t="shared" si="185"/>
        <v>#DIV/0!</v>
      </c>
      <c r="T348" s="4" t="s">
        <v>798</v>
      </c>
      <c r="V348" s="4">
        <v>2</v>
      </c>
      <c r="W348" s="4" t="s">
        <v>788</v>
      </c>
      <c r="Y348" s="4" t="s">
        <v>15</v>
      </c>
      <c r="AA348" s="4" t="s">
        <v>789</v>
      </c>
      <c r="AC348" s="4" t="s">
        <v>786</v>
      </c>
      <c r="AD348" s="6" t="s">
        <v>787</v>
      </c>
      <c r="AE348" s="12" t="s">
        <v>820</v>
      </c>
      <c r="AF348" s="12" t="s">
        <v>829</v>
      </c>
      <c r="AG348" s="6"/>
      <c r="AI348" s="4">
        <v>3.5</v>
      </c>
      <c r="AJ348" s="4">
        <v>5</v>
      </c>
      <c r="AL348" s="4" t="s">
        <v>353</v>
      </c>
      <c r="AM348" s="10"/>
      <c r="AW348" s="7">
        <v>44</v>
      </c>
      <c r="AX348" s="7">
        <v>44</v>
      </c>
      <c r="AY348" s="4">
        <v>116</v>
      </c>
      <c r="AZ348" s="4">
        <v>118</v>
      </c>
      <c r="BA348" s="4">
        <v>115</v>
      </c>
      <c r="BB348" s="4">
        <v>111</v>
      </c>
      <c r="BC348" s="4" t="s">
        <v>799</v>
      </c>
      <c r="BD348" s="4">
        <f t="shared" si="183"/>
        <v>0.99137931034482762</v>
      </c>
      <c r="BE348" s="4">
        <f t="shared" si="184"/>
        <v>0.02</v>
      </c>
    </row>
    <row r="349" spans="1:59" s="1" customFormat="1" ht="19.5" customHeight="1" x14ac:dyDescent="0.2">
      <c r="A349" s="1">
        <v>60</v>
      </c>
      <c r="B349" s="1" t="s">
        <v>791</v>
      </c>
      <c r="C349" s="1" t="s">
        <v>790</v>
      </c>
      <c r="D349" s="1" t="s">
        <v>210</v>
      </c>
      <c r="F349" s="13" t="s">
        <v>829</v>
      </c>
      <c r="G349" s="12" t="e">
        <f t="shared" si="185"/>
        <v>#DIV/0!</v>
      </c>
      <c r="R349" s="3"/>
      <c r="T349" s="1" t="s">
        <v>797</v>
      </c>
      <c r="V349" s="1">
        <v>2</v>
      </c>
      <c r="W349" s="1" t="s">
        <v>788</v>
      </c>
      <c r="Y349" s="1" t="s">
        <v>15</v>
      </c>
      <c r="AA349" s="1" t="s">
        <v>789</v>
      </c>
      <c r="AC349" s="1" t="s">
        <v>786</v>
      </c>
      <c r="AD349" s="5" t="s">
        <v>787</v>
      </c>
      <c r="AE349" s="13" t="s">
        <v>820</v>
      </c>
      <c r="AF349" s="13" t="s">
        <v>829</v>
      </c>
      <c r="AG349" s="5"/>
      <c r="AI349" s="1">
        <v>3.5</v>
      </c>
      <c r="AJ349" s="1">
        <v>5</v>
      </c>
      <c r="AL349" s="1" t="s">
        <v>353</v>
      </c>
      <c r="AM349" s="2"/>
      <c r="AN349" s="3"/>
      <c r="AP349" s="15"/>
      <c r="AR349" s="3"/>
      <c r="AS349" s="3"/>
      <c r="AT349" s="3"/>
      <c r="AU349" s="3"/>
      <c r="AW349" s="3">
        <v>44</v>
      </c>
      <c r="AX349" s="3">
        <v>44</v>
      </c>
      <c r="AY349" s="1">
        <v>127</v>
      </c>
      <c r="AZ349" s="1">
        <v>125</v>
      </c>
      <c r="BA349" s="1">
        <v>119</v>
      </c>
      <c r="BB349" s="1">
        <v>111</v>
      </c>
      <c r="BD349" s="1">
        <f t="shared" si="183"/>
        <v>0.93700787401574803</v>
      </c>
      <c r="BE349" s="1">
        <f t="shared" si="184"/>
        <v>0.16</v>
      </c>
      <c r="BG349" s="3"/>
    </row>
    <row r="350" spans="1:59" ht="17.25" customHeight="1" x14ac:dyDescent="0.2">
      <c r="A350" s="4">
        <v>60</v>
      </c>
      <c r="B350" s="4" t="s">
        <v>791</v>
      </c>
      <c r="C350" s="4" t="s">
        <v>790</v>
      </c>
      <c r="D350" s="4" t="s">
        <v>210</v>
      </c>
      <c r="F350" s="12" t="s">
        <v>829</v>
      </c>
      <c r="G350" s="12"/>
      <c r="T350" s="4" t="s">
        <v>792</v>
      </c>
      <c r="V350" s="4">
        <v>2</v>
      </c>
      <c r="W350" s="4" t="s">
        <v>788</v>
      </c>
      <c r="Y350" s="4" t="s">
        <v>15</v>
      </c>
      <c r="AA350" s="4" t="s">
        <v>789</v>
      </c>
      <c r="AC350" s="4" t="s">
        <v>786</v>
      </c>
      <c r="AD350" s="6" t="s">
        <v>787</v>
      </c>
      <c r="AE350" s="12" t="s">
        <v>820</v>
      </c>
      <c r="AF350" s="12" t="s">
        <v>829</v>
      </c>
      <c r="AG350" s="6"/>
      <c r="AI350" s="4">
        <v>3.5</v>
      </c>
      <c r="AJ350" s="4">
        <v>5</v>
      </c>
      <c r="AL350" s="4" t="s">
        <v>353</v>
      </c>
      <c r="AM350" s="10"/>
      <c r="AW350" s="7">
        <v>44</v>
      </c>
      <c r="AX350" s="7">
        <v>44</v>
      </c>
      <c r="AY350" s="4">
        <v>125</v>
      </c>
      <c r="AZ350" s="4">
        <v>120</v>
      </c>
      <c r="BA350" s="4">
        <v>116</v>
      </c>
      <c r="BB350" s="4">
        <v>111</v>
      </c>
      <c r="BD350" s="4">
        <f t="shared" si="183"/>
        <v>0.92800000000000005</v>
      </c>
      <c r="BE350" s="4">
        <f t="shared" si="184"/>
        <v>0.18</v>
      </c>
    </row>
  </sheetData>
  <autoFilter ref="A1:BH1" xr:uid="{00000000-0009-0000-0000-000000000000}"/>
  <hyperlinks>
    <hyperlink ref="AD8" r:id="rId1" xr:uid="{00000000-0004-0000-0000-000000000000}"/>
    <hyperlink ref="AD10" r:id="rId2" xr:uid="{00000000-0004-0000-0000-000001000000}"/>
    <hyperlink ref="AD11" r:id="rId3" xr:uid="{00000000-0004-0000-0000-000002000000}"/>
    <hyperlink ref="AD12:AD13" r:id="rId4" display="http://dx.doi.org/10.1149/1.1413182" xr:uid="{00000000-0004-0000-0000-000003000000}"/>
    <hyperlink ref="AD15" r:id="rId5" xr:uid="{00000000-0004-0000-0000-000004000000}"/>
    <hyperlink ref="AD17" r:id="rId6" xr:uid="{00000000-0004-0000-0000-000005000000}"/>
    <hyperlink ref="AD20" r:id="rId7" xr:uid="{00000000-0004-0000-0000-000006000000}"/>
    <hyperlink ref="AD14" r:id="rId8" xr:uid="{00000000-0004-0000-0000-000007000000}"/>
    <hyperlink ref="AD19" r:id="rId9" xr:uid="{00000000-0004-0000-0000-000008000000}"/>
    <hyperlink ref="AD24" r:id="rId10" xr:uid="{00000000-0004-0000-0000-000009000000}"/>
    <hyperlink ref="AD26" r:id="rId11" xr:uid="{00000000-0004-0000-0000-00000A000000}"/>
    <hyperlink ref="AD28" r:id="rId12" xr:uid="{00000000-0004-0000-0000-00000B000000}"/>
    <hyperlink ref="AD23" r:id="rId13" xr:uid="{00000000-0004-0000-0000-00000C000000}"/>
    <hyperlink ref="AD29" r:id="rId14" xr:uid="{00000000-0004-0000-0000-00000D000000}"/>
    <hyperlink ref="AD30" r:id="rId15" xr:uid="{00000000-0004-0000-0000-00000E000000}"/>
    <hyperlink ref="AD32" r:id="rId16" xr:uid="{00000000-0004-0000-0000-00000F000000}"/>
    <hyperlink ref="AD33" r:id="rId17" xr:uid="{00000000-0004-0000-0000-000010000000}"/>
    <hyperlink ref="AD13" r:id="rId18" xr:uid="{00000000-0004-0000-0000-000011000000}"/>
    <hyperlink ref="AD12" r:id="rId19" xr:uid="{00000000-0004-0000-0000-000012000000}"/>
    <hyperlink ref="AD34" r:id="rId20" xr:uid="{00000000-0004-0000-0000-000013000000}"/>
    <hyperlink ref="AD35" r:id="rId21" xr:uid="{00000000-0004-0000-0000-000014000000}"/>
    <hyperlink ref="AD36" r:id="rId22" xr:uid="{00000000-0004-0000-0000-000015000000}"/>
    <hyperlink ref="AD37" r:id="rId23" xr:uid="{00000000-0004-0000-0000-000016000000}"/>
    <hyperlink ref="AD38" r:id="rId24" xr:uid="{00000000-0004-0000-0000-000017000000}"/>
    <hyperlink ref="AD39" r:id="rId25" xr:uid="{00000000-0004-0000-0000-000018000000}"/>
    <hyperlink ref="AD40" r:id="rId26" xr:uid="{00000000-0004-0000-0000-000019000000}"/>
    <hyperlink ref="AD41" r:id="rId27" xr:uid="{00000000-0004-0000-0000-00001A000000}"/>
    <hyperlink ref="AD42" r:id="rId28" xr:uid="{00000000-0004-0000-0000-00001B000000}"/>
    <hyperlink ref="AD43" r:id="rId29" xr:uid="{00000000-0004-0000-0000-00001C000000}"/>
    <hyperlink ref="AD44" r:id="rId30" xr:uid="{00000000-0004-0000-0000-00001D000000}"/>
    <hyperlink ref="AD45" r:id="rId31" xr:uid="{00000000-0004-0000-0000-00001E000000}"/>
    <hyperlink ref="AD46" r:id="rId32" xr:uid="{00000000-0004-0000-0000-00001F000000}"/>
    <hyperlink ref="AD47" r:id="rId33" xr:uid="{00000000-0004-0000-0000-000020000000}"/>
    <hyperlink ref="AD49" r:id="rId34" xr:uid="{00000000-0004-0000-0000-000021000000}"/>
    <hyperlink ref="AD51" r:id="rId35" xr:uid="{00000000-0004-0000-0000-000022000000}"/>
    <hyperlink ref="AD48" r:id="rId36" xr:uid="{00000000-0004-0000-0000-000023000000}"/>
    <hyperlink ref="AD50" r:id="rId37" xr:uid="{00000000-0004-0000-0000-000024000000}"/>
    <hyperlink ref="AD52" r:id="rId38" xr:uid="{00000000-0004-0000-0000-000025000000}"/>
    <hyperlink ref="AD53" r:id="rId39" xr:uid="{00000000-0004-0000-0000-000026000000}"/>
    <hyperlink ref="AD54" r:id="rId40" xr:uid="{00000000-0004-0000-0000-000027000000}"/>
    <hyperlink ref="AD56" r:id="rId41" xr:uid="{00000000-0004-0000-0000-000028000000}"/>
    <hyperlink ref="AD58" r:id="rId42" xr:uid="{00000000-0004-0000-0000-000029000000}"/>
    <hyperlink ref="AD60" r:id="rId43" xr:uid="{00000000-0004-0000-0000-00002A000000}"/>
    <hyperlink ref="AD62" r:id="rId44" xr:uid="{00000000-0004-0000-0000-00002B000000}"/>
    <hyperlink ref="AD64" r:id="rId45" xr:uid="{00000000-0004-0000-0000-00002C000000}"/>
    <hyperlink ref="AD66" r:id="rId46" xr:uid="{00000000-0004-0000-0000-00002D000000}"/>
    <hyperlink ref="AD68" r:id="rId47" xr:uid="{00000000-0004-0000-0000-00002E000000}"/>
    <hyperlink ref="AD70" r:id="rId48" xr:uid="{00000000-0004-0000-0000-00002F000000}"/>
    <hyperlink ref="AD72" r:id="rId49" xr:uid="{00000000-0004-0000-0000-000030000000}"/>
    <hyperlink ref="AD55" r:id="rId50" xr:uid="{00000000-0004-0000-0000-000031000000}"/>
    <hyperlink ref="AD57" r:id="rId51" xr:uid="{00000000-0004-0000-0000-000032000000}"/>
    <hyperlink ref="AD59" r:id="rId52" xr:uid="{00000000-0004-0000-0000-000033000000}"/>
    <hyperlink ref="AD61" r:id="rId53" xr:uid="{00000000-0004-0000-0000-000034000000}"/>
    <hyperlink ref="AD63" r:id="rId54" xr:uid="{00000000-0004-0000-0000-000035000000}"/>
    <hyperlink ref="AD65" r:id="rId55" xr:uid="{00000000-0004-0000-0000-000036000000}"/>
    <hyperlink ref="AD67" r:id="rId56" xr:uid="{00000000-0004-0000-0000-000037000000}"/>
    <hyperlink ref="AD69" r:id="rId57" xr:uid="{00000000-0004-0000-0000-000038000000}"/>
    <hyperlink ref="AD71" r:id="rId58" xr:uid="{00000000-0004-0000-0000-000039000000}"/>
    <hyperlink ref="AD73" r:id="rId59" xr:uid="{00000000-0004-0000-0000-00003A000000}"/>
    <hyperlink ref="AD74" r:id="rId60" xr:uid="{00000000-0004-0000-0000-00003B000000}"/>
    <hyperlink ref="AD75" r:id="rId61" xr:uid="{00000000-0004-0000-0000-00003C000000}"/>
    <hyperlink ref="AD76" r:id="rId62" xr:uid="{00000000-0004-0000-0000-00003D000000}"/>
    <hyperlink ref="AD78" r:id="rId63" xr:uid="{00000000-0004-0000-0000-00003E000000}"/>
    <hyperlink ref="AD77" r:id="rId64" xr:uid="{00000000-0004-0000-0000-00003F000000}"/>
    <hyperlink ref="AD80" r:id="rId65" xr:uid="{00000000-0004-0000-0000-000040000000}"/>
    <hyperlink ref="AD79" r:id="rId66" xr:uid="{00000000-0004-0000-0000-000041000000}"/>
    <hyperlink ref="AD81" r:id="rId67" xr:uid="{00000000-0004-0000-0000-000042000000}"/>
    <hyperlink ref="AD82" r:id="rId68" xr:uid="{00000000-0004-0000-0000-000043000000}"/>
    <hyperlink ref="AD83" r:id="rId69" xr:uid="{00000000-0004-0000-0000-000044000000}"/>
    <hyperlink ref="AD84" r:id="rId70" xr:uid="{00000000-0004-0000-0000-000045000000}"/>
    <hyperlink ref="AD85" r:id="rId71" xr:uid="{00000000-0004-0000-0000-000046000000}"/>
    <hyperlink ref="AD86" r:id="rId72" xr:uid="{00000000-0004-0000-0000-000047000000}"/>
    <hyperlink ref="AD87" r:id="rId73" xr:uid="{00000000-0004-0000-0000-000048000000}"/>
    <hyperlink ref="AD88" r:id="rId74" xr:uid="{00000000-0004-0000-0000-000049000000}"/>
    <hyperlink ref="AD89" r:id="rId75" xr:uid="{00000000-0004-0000-0000-00004A000000}"/>
    <hyperlink ref="AD90" r:id="rId76" xr:uid="{00000000-0004-0000-0000-00004B000000}"/>
    <hyperlink ref="AD91" r:id="rId77" xr:uid="{00000000-0004-0000-0000-00004C000000}"/>
    <hyperlink ref="AD92" r:id="rId78" xr:uid="{00000000-0004-0000-0000-00004D000000}"/>
    <hyperlink ref="AD93" r:id="rId79" xr:uid="{00000000-0004-0000-0000-00004E000000}"/>
    <hyperlink ref="AD100" r:id="rId80" xr:uid="{00000000-0004-0000-0000-00004F000000}"/>
    <hyperlink ref="AD101" r:id="rId81" xr:uid="{00000000-0004-0000-0000-000050000000}"/>
    <hyperlink ref="AD103" r:id="rId82" xr:uid="{00000000-0004-0000-0000-000051000000}"/>
    <hyperlink ref="AD104" r:id="rId83" xr:uid="{00000000-0004-0000-0000-000052000000}"/>
    <hyperlink ref="AD105" r:id="rId84" xr:uid="{00000000-0004-0000-0000-000053000000}"/>
    <hyperlink ref="AD106" r:id="rId85" xr:uid="{00000000-0004-0000-0000-000054000000}"/>
    <hyperlink ref="AD107" r:id="rId86" xr:uid="{00000000-0004-0000-0000-000055000000}"/>
    <hyperlink ref="AD110" r:id="rId87" xr:uid="{00000000-0004-0000-0000-000056000000}"/>
    <hyperlink ref="AD111" r:id="rId88" xr:uid="{00000000-0004-0000-0000-000057000000}"/>
    <hyperlink ref="AD112" r:id="rId89" xr:uid="{00000000-0004-0000-0000-000058000000}"/>
    <hyperlink ref="AD113" r:id="rId90" xr:uid="{00000000-0004-0000-0000-000059000000}"/>
    <hyperlink ref="AD114" r:id="rId91" xr:uid="{00000000-0004-0000-0000-00005A000000}"/>
    <hyperlink ref="AD115" r:id="rId92" xr:uid="{00000000-0004-0000-0000-00005B000000}"/>
    <hyperlink ref="AD102" r:id="rId93" xr:uid="{00000000-0004-0000-0000-00005C000000}"/>
    <hyperlink ref="AD126" r:id="rId94" xr:uid="{00000000-0004-0000-0000-00005D000000}"/>
    <hyperlink ref="AD125" r:id="rId95" xr:uid="{00000000-0004-0000-0000-00005E000000}"/>
    <hyperlink ref="AD127" r:id="rId96" xr:uid="{00000000-0004-0000-0000-00005F000000}"/>
    <hyperlink ref="AD129" r:id="rId97" xr:uid="{00000000-0004-0000-0000-000060000000}"/>
    <hyperlink ref="AD128" r:id="rId98" xr:uid="{00000000-0004-0000-0000-000061000000}"/>
    <hyperlink ref="AD109" r:id="rId99" display="http://dx.doi.org/10.1016/S0378-7753%2800%2900653-4" xr:uid="{00000000-0004-0000-0000-000062000000}"/>
    <hyperlink ref="AD108" r:id="rId100" display="http://dx.doi.org/10.1016/S0378-7753%2800%2900653-4" xr:uid="{00000000-0004-0000-0000-000063000000}"/>
    <hyperlink ref="AD130" r:id="rId101" xr:uid="{00000000-0004-0000-0000-000064000000}"/>
    <hyperlink ref="AD131" r:id="rId102" xr:uid="{00000000-0004-0000-0000-000065000000}"/>
    <hyperlink ref="AD132" r:id="rId103" xr:uid="{00000000-0004-0000-0000-000066000000}"/>
    <hyperlink ref="AD133" r:id="rId104" xr:uid="{00000000-0004-0000-0000-000067000000}"/>
    <hyperlink ref="AD134" r:id="rId105" xr:uid="{00000000-0004-0000-0000-000068000000}"/>
    <hyperlink ref="AD135" r:id="rId106" xr:uid="{00000000-0004-0000-0000-000069000000}"/>
    <hyperlink ref="AD136" r:id="rId107" xr:uid="{00000000-0004-0000-0000-00006A000000}"/>
    <hyperlink ref="AD137" r:id="rId108" xr:uid="{00000000-0004-0000-0000-00006B000000}"/>
    <hyperlink ref="AD138" r:id="rId109" xr:uid="{00000000-0004-0000-0000-00006C000000}"/>
    <hyperlink ref="AD139" r:id="rId110" xr:uid="{00000000-0004-0000-0000-00006D000000}"/>
    <hyperlink ref="AD140" r:id="rId111" xr:uid="{00000000-0004-0000-0000-00006E000000}"/>
    <hyperlink ref="AD141" r:id="rId112" xr:uid="{00000000-0004-0000-0000-00006F000000}"/>
    <hyperlink ref="AD142" r:id="rId113" xr:uid="{00000000-0004-0000-0000-000070000000}"/>
    <hyperlink ref="AD143" r:id="rId114" xr:uid="{00000000-0004-0000-0000-000071000000}"/>
    <hyperlink ref="AD144" r:id="rId115" xr:uid="{00000000-0004-0000-0000-000072000000}"/>
    <hyperlink ref="AD145" r:id="rId116" display="http://dx.doi.org/10.1016/j.electacta.2007.12.057" xr:uid="{00000000-0004-0000-0000-000073000000}"/>
    <hyperlink ref="AD146" r:id="rId117" display="http://dx.doi.org/10.1016/j.electacta.2007.12.057" xr:uid="{00000000-0004-0000-0000-000074000000}"/>
    <hyperlink ref="AD147" r:id="rId118" display="http://dx.doi.org/10.1016/j.electacta.2007.12.057" xr:uid="{00000000-0004-0000-0000-000075000000}"/>
    <hyperlink ref="AD148" r:id="rId119" display="http://dx.doi.org/10.1016/j.electacta.2007.12.057" xr:uid="{00000000-0004-0000-0000-000076000000}"/>
    <hyperlink ref="AD149" r:id="rId120" display="http://dx.doi.org/10.1016/j.electacta.2007.12.057" xr:uid="{00000000-0004-0000-0000-000077000000}"/>
    <hyperlink ref="AD150" r:id="rId121" display="http://dx.doi.org/10.1016/j.electacta.2007.12.057" xr:uid="{00000000-0004-0000-0000-000078000000}"/>
    <hyperlink ref="AD151" r:id="rId122" xr:uid="{00000000-0004-0000-0000-000079000000}"/>
    <hyperlink ref="AD152" r:id="rId123" xr:uid="{00000000-0004-0000-0000-00007A000000}"/>
    <hyperlink ref="AD153" r:id="rId124" xr:uid="{00000000-0004-0000-0000-00007B000000}"/>
    <hyperlink ref="AD154" r:id="rId125" xr:uid="{00000000-0004-0000-0000-00007C000000}"/>
    <hyperlink ref="AD155" r:id="rId126" xr:uid="{00000000-0004-0000-0000-00007D000000}"/>
    <hyperlink ref="AD156" r:id="rId127" xr:uid="{00000000-0004-0000-0000-00007E000000}"/>
    <hyperlink ref="AD157" r:id="rId128" xr:uid="{00000000-0004-0000-0000-00007F000000}"/>
    <hyperlink ref="AD158" r:id="rId129" xr:uid="{00000000-0004-0000-0000-000080000000}"/>
    <hyperlink ref="AD159" r:id="rId130" xr:uid="{00000000-0004-0000-0000-000081000000}"/>
    <hyperlink ref="AD160" r:id="rId131" xr:uid="{00000000-0004-0000-0000-000082000000}"/>
    <hyperlink ref="AD161" r:id="rId132" xr:uid="{00000000-0004-0000-0000-000083000000}"/>
    <hyperlink ref="AD162" r:id="rId133" xr:uid="{00000000-0004-0000-0000-000084000000}"/>
    <hyperlink ref="AD163" r:id="rId134" xr:uid="{00000000-0004-0000-0000-000085000000}"/>
    <hyperlink ref="AD164" r:id="rId135" xr:uid="{00000000-0004-0000-0000-000086000000}"/>
    <hyperlink ref="AD165" r:id="rId136" xr:uid="{00000000-0004-0000-0000-000087000000}"/>
    <hyperlink ref="AD166" r:id="rId137" xr:uid="{00000000-0004-0000-0000-000088000000}"/>
    <hyperlink ref="AD167" r:id="rId138" xr:uid="{00000000-0004-0000-0000-000089000000}"/>
    <hyperlink ref="AD168" r:id="rId139" xr:uid="{00000000-0004-0000-0000-00008A000000}"/>
    <hyperlink ref="AD169" r:id="rId140" xr:uid="{00000000-0004-0000-0000-00008B000000}"/>
    <hyperlink ref="AD170" r:id="rId141" xr:uid="{00000000-0004-0000-0000-00008C000000}"/>
    <hyperlink ref="AD171" r:id="rId142" xr:uid="{00000000-0004-0000-0000-00008D000000}"/>
    <hyperlink ref="AD172" r:id="rId143" xr:uid="{00000000-0004-0000-0000-00008E000000}"/>
    <hyperlink ref="AD173" r:id="rId144" xr:uid="{00000000-0004-0000-0000-00008F000000}"/>
    <hyperlink ref="AD174" r:id="rId145" xr:uid="{00000000-0004-0000-0000-000090000000}"/>
    <hyperlink ref="AD175" r:id="rId146" xr:uid="{00000000-0004-0000-0000-000091000000}"/>
    <hyperlink ref="AD176" r:id="rId147" xr:uid="{00000000-0004-0000-0000-000092000000}"/>
    <hyperlink ref="AD177:AD178" r:id="rId148" display="http://dx.doi.org/10.1016/j.jpowsour.2007.02.066" xr:uid="{00000000-0004-0000-0000-000093000000}"/>
    <hyperlink ref="AD177" r:id="rId149" xr:uid="{00000000-0004-0000-0000-000094000000}"/>
    <hyperlink ref="AD178" r:id="rId150" xr:uid="{00000000-0004-0000-0000-000095000000}"/>
    <hyperlink ref="AD179" r:id="rId151" xr:uid="{00000000-0004-0000-0000-000096000000}"/>
    <hyperlink ref="AD180" r:id="rId152" xr:uid="{00000000-0004-0000-0000-000097000000}"/>
    <hyperlink ref="AD181" r:id="rId153" xr:uid="{00000000-0004-0000-0000-000098000000}"/>
    <hyperlink ref="AD182" r:id="rId154" xr:uid="{00000000-0004-0000-0000-000099000000}"/>
    <hyperlink ref="AD183" r:id="rId155" xr:uid="{00000000-0004-0000-0000-00009A000000}"/>
    <hyperlink ref="AD184" r:id="rId156" xr:uid="{00000000-0004-0000-0000-00009B000000}"/>
    <hyperlink ref="AD185" r:id="rId157" xr:uid="{00000000-0004-0000-0000-00009C000000}"/>
    <hyperlink ref="AD186" r:id="rId158" xr:uid="{00000000-0004-0000-0000-00009D000000}"/>
    <hyperlink ref="AD187" r:id="rId159" xr:uid="{00000000-0004-0000-0000-00009E000000}"/>
    <hyperlink ref="AD188" r:id="rId160" xr:uid="{00000000-0004-0000-0000-00009F000000}"/>
    <hyperlink ref="AD189" r:id="rId161" xr:uid="{00000000-0004-0000-0000-0000A0000000}"/>
    <hyperlink ref="AD190" r:id="rId162" xr:uid="{00000000-0004-0000-0000-0000A1000000}"/>
    <hyperlink ref="AD191" r:id="rId163" xr:uid="{00000000-0004-0000-0000-0000A2000000}"/>
    <hyperlink ref="AD192" r:id="rId164" xr:uid="{00000000-0004-0000-0000-0000A3000000}"/>
    <hyperlink ref="AD193" r:id="rId165" xr:uid="{00000000-0004-0000-0000-0000A4000000}"/>
    <hyperlink ref="AD194" r:id="rId166" xr:uid="{00000000-0004-0000-0000-0000A5000000}"/>
    <hyperlink ref="AD195" r:id="rId167" xr:uid="{00000000-0004-0000-0000-0000A6000000}"/>
    <hyperlink ref="AD196" r:id="rId168" xr:uid="{00000000-0004-0000-0000-0000A7000000}"/>
    <hyperlink ref="AD197" r:id="rId169" xr:uid="{00000000-0004-0000-0000-0000A8000000}"/>
    <hyperlink ref="AD198" r:id="rId170" xr:uid="{00000000-0004-0000-0000-0000A9000000}"/>
    <hyperlink ref="AD200" r:id="rId171" xr:uid="{00000000-0004-0000-0000-0000AA000000}"/>
    <hyperlink ref="AD201" r:id="rId172" xr:uid="{00000000-0004-0000-0000-0000AB000000}"/>
    <hyperlink ref="AD202" r:id="rId173" xr:uid="{00000000-0004-0000-0000-0000AC000000}"/>
    <hyperlink ref="AD203" r:id="rId174" xr:uid="{00000000-0004-0000-0000-0000AD000000}"/>
    <hyperlink ref="AD204" r:id="rId175" xr:uid="{00000000-0004-0000-0000-0000AE000000}"/>
    <hyperlink ref="AD205" r:id="rId176" xr:uid="{00000000-0004-0000-0000-0000AF000000}"/>
    <hyperlink ref="AD206" r:id="rId177" xr:uid="{00000000-0004-0000-0000-0000B0000000}"/>
    <hyperlink ref="AD207" r:id="rId178" xr:uid="{00000000-0004-0000-0000-0000B1000000}"/>
    <hyperlink ref="AD208" r:id="rId179" xr:uid="{00000000-0004-0000-0000-0000B2000000}"/>
    <hyperlink ref="AD209" r:id="rId180" xr:uid="{00000000-0004-0000-0000-0000B3000000}"/>
    <hyperlink ref="AD210" r:id="rId181" xr:uid="{00000000-0004-0000-0000-0000B4000000}"/>
    <hyperlink ref="AD211" r:id="rId182" xr:uid="{00000000-0004-0000-0000-0000B5000000}"/>
    <hyperlink ref="AD212" r:id="rId183" xr:uid="{00000000-0004-0000-0000-0000B6000000}"/>
    <hyperlink ref="AD213" r:id="rId184" xr:uid="{00000000-0004-0000-0000-0000B7000000}"/>
    <hyperlink ref="AD214" r:id="rId185" xr:uid="{00000000-0004-0000-0000-0000B8000000}"/>
    <hyperlink ref="AD215" r:id="rId186" xr:uid="{00000000-0004-0000-0000-0000B9000000}"/>
    <hyperlink ref="AD216" r:id="rId187" xr:uid="{00000000-0004-0000-0000-0000BA000000}"/>
    <hyperlink ref="AD217" r:id="rId188" xr:uid="{00000000-0004-0000-0000-0000BB000000}"/>
    <hyperlink ref="AD218" r:id="rId189" xr:uid="{00000000-0004-0000-0000-0000BC000000}"/>
    <hyperlink ref="AD219" r:id="rId190" xr:uid="{00000000-0004-0000-0000-0000BD000000}"/>
    <hyperlink ref="AD220" r:id="rId191" xr:uid="{00000000-0004-0000-0000-0000BE000000}"/>
    <hyperlink ref="AD221" r:id="rId192" xr:uid="{00000000-0004-0000-0000-0000BF000000}"/>
    <hyperlink ref="AD222" r:id="rId193" xr:uid="{00000000-0004-0000-0000-0000C0000000}"/>
    <hyperlink ref="AD223" r:id="rId194" xr:uid="{00000000-0004-0000-0000-0000C1000000}"/>
    <hyperlink ref="AD224" r:id="rId195" xr:uid="{00000000-0004-0000-0000-0000C2000000}"/>
    <hyperlink ref="AD225" r:id="rId196" xr:uid="{00000000-0004-0000-0000-0000C3000000}"/>
    <hyperlink ref="AD226" r:id="rId197" xr:uid="{00000000-0004-0000-0000-0000C4000000}"/>
    <hyperlink ref="AD227" r:id="rId198" xr:uid="{00000000-0004-0000-0000-0000C5000000}"/>
    <hyperlink ref="AD228" r:id="rId199" xr:uid="{00000000-0004-0000-0000-0000C6000000}"/>
    <hyperlink ref="AD229" r:id="rId200" xr:uid="{00000000-0004-0000-0000-0000C7000000}"/>
    <hyperlink ref="AD230" r:id="rId201" xr:uid="{00000000-0004-0000-0000-0000C8000000}"/>
    <hyperlink ref="AD231" r:id="rId202" xr:uid="{00000000-0004-0000-0000-0000C9000000}"/>
    <hyperlink ref="AD232" r:id="rId203" xr:uid="{00000000-0004-0000-0000-0000CA000000}"/>
    <hyperlink ref="AD233" r:id="rId204" xr:uid="{00000000-0004-0000-0000-0000CB000000}"/>
    <hyperlink ref="AD234" r:id="rId205" xr:uid="{00000000-0004-0000-0000-0000CC000000}"/>
    <hyperlink ref="AD235" r:id="rId206" xr:uid="{00000000-0004-0000-0000-0000CD000000}"/>
    <hyperlink ref="AD236" r:id="rId207" xr:uid="{00000000-0004-0000-0000-0000CE000000}"/>
    <hyperlink ref="AD237" r:id="rId208" xr:uid="{00000000-0004-0000-0000-0000CF000000}"/>
    <hyperlink ref="AD238" r:id="rId209" xr:uid="{00000000-0004-0000-0000-0000D0000000}"/>
    <hyperlink ref="AD239" r:id="rId210" xr:uid="{00000000-0004-0000-0000-0000D1000000}"/>
    <hyperlink ref="AD240" r:id="rId211" xr:uid="{00000000-0004-0000-0000-0000D2000000}"/>
    <hyperlink ref="AD241" r:id="rId212" xr:uid="{00000000-0004-0000-0000-0000D3000000}"/>
    <hyperlink ref="AD242" r:id="rId213" xr:uid="{00000000-0004-0000-0000-0000D4000000}"/>
    <hyperlink ref="AD243" r:id="rId214" xr:uid="{00000000-0004-0000-0000-0000D5000000}"/>
    <hyperlink ref="AD244" r:id="rId215" xr:uid="{00000000-0004-0000-0000-0000D6000000}"/>
    <hyperlink ref="AD245" r:id="rId216" xr:uid="{00000000-0004-0000-0000-0000D7000000}"/>
    <hyperlink ref="AD246" r:id="rId217" xr:uid="{00000000-0004-0000-0000-0000D8000000}"/>
    <hyperlink ref="AD247" r:id="rId218" xr:uid="{00000000-0004-0000-0000-0000D9000000}"/>
    <hyperlink ref="AD248" r:id="rId219" xr:uid="{00000000-0004-0000-0000-0000DA000000}"/>
    <hyperlink ref="AD249" r:id="rId220" xr:uid="{00000000-0004-0000-0000-0000DB000000}"/>
    <hyperlink ref="AD250" r:id="rId221" xr:uid="{00000000-0004-0000-0000-0000DC000000}"/>
    <hyperlink ref="AD251" r:id="rId222" xr:uid="{00000000-0004-0000-0000-0000DD000000}"/>
    <hyperlink ref="AD252" r:id="rId223" xr:uid="{00000000-0004-0000-0000-0000DE000000}"/>
    <hyperlink ref="AD253" r:id="rId224" xr:uid="{00000000-0004-0000-0000-0000DF000000}"/>
    <hyperlink ref="AD254" r:id="rId225" xr:uid="{00000000-0004-0000-0000-0000E0000000}"/>
    <hyperlink ref="AD255" r:id="rId226" xr:uid="{00000000-0004-0000-0000-0000E1000000}"/>
    <hyperlink ref="AD256" r:id="rId227" xr:uid="{00000000-0004-0000-0000-0000E2000000}"/>
    <hyperlink ref="AD257" r:id="rId228" xr:uid="{00000000-0004-0000-0000-0000E3000000}"/>
    <hyperlink ref="AD258" r:id="rId229" xr:uid="{00000000-0004-0000-0000-0000E4000000}"/>
    <hyperlink ref="AD259" r:id="rId230" xr:uid="{00000000-0004-0000-0000-0000E5000000}"/>
    <hyperlink ref="AD260" r:id="rId231" xr:uid="{00000000-0004-0000-0000-0000E6000000}"/>
    <hyperlink ref="AD261" r:id="rId232" xr:uid="{00000000-0004-0000-0000-0000E7000000}"/>
    <hyperlink ref="AD262" r:id="rId233" xr:uid="{00000000-0004-0000-0000-0000E8000000}"/>
    <hyperlink ref="AD263" r:id="rId234" xr:uid="{00000000-0004-0000-0000-0000E9000000}"/>
    <hyperlink ref="AD264" r:id="rId235" xr:uid="{00000000-0004-0000-0000-0000EA000000}"/>
    <hyperlink ref="AD265" r:id="rId236" xr:uid="{00000000-0004-0000-0000-0000EB000000}"/>
    <hyperlink ref="AD2" r:id="rId237" xr:uid="{00000000-0004-0000-0000-0000EC000000}"/>
    <hyperlink ref="AD4:AD5" r:id="rId238" display="http://dx.doi.org/10.1016/ 10.1149/1.2085950" xr:uid="{00000000-0004-0000-0000-0000ED000000}"/>
    <hyperlink ref="AD31" r:id="rId239" display="http://dx.doi.org/10.1016/S0013-4686%2801%2900631-4" xr:uid="{00000000-0004-0000-0000-0000EE000000}"/>
    <hyperlink ref="AD94" r:id="rId240" xr:uid="{00000000-0004-0000-0000-0000EF000000}"/>
    <hyperlink ref="AD95:AD96" r:id="rId241" display="http://dx.doi.org/ 10.1149/1.1393283" xr:uid="{00000000-0004-0000-0000-0000F0000000}"/>
    <hyperlink ref="AD95" r:id="rId242" xr:uid="{00000000-0004-0000-0000-0000F1000000}"/>
    <hyperlink ref="AD96" r:id="rId243" xr:uid="{00000000-0004-0000-0000-0000F2000000}"/>
    <hyperlink ref="AD4" r:id="rId244" xr:uid="{00000000-0004-0000-0000-0000F3000000}"/>
    <hyperlink ref="AD5" r:id="rId245" xr:uid="{00000000-0004-0000-0000-0000F4000000}"/>
    <hyperlink ref="AD97" r:id="rId246" display="http://dx.doi.org/10.1016/S0378-7753%2801%2900692-9" xr:uid="{00000000-0004-0000-0000-0000F5000000}"/>
    <hyperlink ref="AD98" r:id="rId247" display="http://dx.doi.org/10.1016/S0378-7753%2801%2900692-9" xr:uid="{00000000-0004-0000-0000-0000F6000000}"/>
    <hyperlink ref="AD99" r:id="rId248" display="http://dx.doi.org/10.1016/S0378-7753%2801%2900692-9" xr:uid="{00000000-0004-0000-0000-0000F7000000}"/>
    <hyperlink ref="AD116" r:id="rId249" display="http://dx.doi.org/10.1016/S1388-2481%2802%2900370-3" xr:uid="{00000000-0004-0000-0000-0000F8000000}"/>
    <hyperlink ref="AD117" r:id="rId250" display="http://dx.doi.org/10.1016/S1388-2481%2802%2900370-3" xr:uid="{00000000-0004-0000-0000-0000F9000000}"/>
    <hyperlink ref="AD118" r:id="rId251" display="http://dx.doi.org/10.1016/S1388-2481%2802%2900370-3" xr:uid="{00000000-0004-0000-0000-0000FA000000}"/>
    <hyperlink ref="AD119" r:id="rId252" display="http://dx.doi.org/10.1016/S1388-2481%2802%2900370-3" xr:uid="{00000000-0004-0000-0000-0000FB000000}"/>
    <hyperlink ref="AD120" r:id="rId253" display="http://dx.doi.org/10.1016/S1388-2481%2802%2900370-3" xr:uid="{00000000-0004-0000-0000-0000FC000000}"/>
    <hyperlink ref="AD121" r:id="rId254" display="http://dx.doi.org/10.1016/S1388-2481%2802%2900370-3" xr:uid="{00000000-0004-0000-0000-0000FD000000}"/>
    <hyperlink ref="AD122" r:id="rId255" display="http://dx.doi.org/10.1016/S1388-2481%2802%2900370-3" xr:uid="{00000000-0004-0000-0000-0000FE000000}"/>
    <hyperlink ref="AD123" r:id="rId256" display="http://dx.doi.org/10.1016/S0378-7753%2802%2900169-6" xr:uid="{00000000-0004-0000-0000-0000FF000000}"/>
    <hyperlink ref="AD124" r:id="rId257" display="http://dx.doi.org/10.1016/S0378-7753%2802%2900169-6" xr:uid="{00000000-0004-0000-0000-000000010000}"/>
    <hyperlink ref="AD3" r:id="rId258" xr:uid="{00000000-0004-0000-0000-000001010000}"/>
    <hyperlink ref="AD6" r:id="rId259" xr:uid="{00000000-0004-0000-0000-000002010000}"/>
    <hyperlink ref="AD7" r:id="rId260" xr:uid="{00000000-0004-0000-0000-000003010000}"/>
    <hyperlink ref="AD9" r:id="rId261" xr:uid="{00000000-0004-0000-0000-000004010000}"/>
    <hyperlink ref="AD266" r:id="rId262" xr:uid="{00000000-0004-0000-0000-000005010000}"/>
    <hyperlink ref="AD267" r:id="rId263" xr:uid="{00000000-0004-0000-0000-000006010000}"/>
    <hyperlink ref="AD268" r:id="rId264" xr:uid="{00000000-0004-0000-0000-000007010000}"/>
    <hyperlink ref="AD269" r:id="rId265" xr:uid="{00000000-0004-0000-0000-000008010000}"/>
    <hyperlink ref="AD270" r:id="rId266" xr:uid="{00000000-0004-0000-0000-000009010000}"/>
    <hyperlink ref="AD271" r:id="rId267" xr:uid="{00000000-0004-0000-0000-00000A010000}"/>
    <hyperlink ref="AD272" r:id="rId268" xr:uid="{00000000-0004-0000-0000-00000B010000}"/>
    <hyperlink ref="AD273" r:id="rId269" xr:uid="{00000000-0004-0000-0000-00000C010000}"/>
    <hyperlink ref="AD274" r:id="rId270" xr:uid="{00000000-0004-0000-0000-00000D010000}"/>
    <hyperlink ref="AD275" r:id="rId271" xr:uid="{00000000-0004-0000-0000-00000E010000}"/>
    <hyperlink ref="AD276" r:id="rId272" xr:uid="{00000000-0004-0000-0000-00000F010000}"/>
    <hyperlink ref="AD277" r:id="rId273" xr:uid="{00000000-0004-0000-0000-000010010000}"/>
    <hyperlink ref="AD278" r:id="rId274" xr:uid="{00000000-0004-0000-0000-000011010000}"/>
    <hyperlink ref="AD279" r:id="rId275" xr:uid="{00000000-0004-0000-0000-000012010000}"/>
    <hyperlink ref="AD280" r:id="rId276" xr:uid="{00000000-0004-0000-0000-000013010000}"/>
    <hyperlink ref="AD281" r:id="rId277" xr:uid="{00000000-0004-0000-0000-000014010000}"/>
    <hyperlink ref="AD282" r:id="rId278" xr:uid="{00000000-0004-0000-0000-000015010000}"/>
    <hyperlink ref="AD283" r:id="rId279" xr:uid="{00000000-0004-0000-0000-000016010000}"/>
    <hyperlink ref="AD284" r:id="rId280" xr:uid="{00000000-0004-0000-0000-000017010000}"/>
    <hyperlink ref="AD285" r:id="rId281" xr:uid="{00000000-0004-0000-0000-000018010000}"/>
    <hyperlink ref="AD286" r:id="rId282" xr:uid="{00000000-0004-0000-0000-000019010000}"/>
    <hyperlink ref="AD287" r:id="rId283" xr:uid="{00000000-0004-0000-0000-00001A010000}"/>
    <hyperlink ref="AD288" r:id="rId284" xr:uid="{00000000-0004-0000-0000-00001B010000}"/>
    <hyperlink ref="AD289" r:id="rId285" xr:uid="{00000000-0004-0000-0000-00001C010000}"/>
    <hyperlink ref="AD290" r:id="rId286" xr:uid="{00000000-0004-0000-0000-00001D010000}"/>
    <hyperlink ref="AD291" r:id="rId287" xr:uid="{00000000-0004-0000-0000-00001E010000}"/>
    <hyperlink ref="AD295" r:id="rId288" xr:uid="{00000000-0004-0000-0000-00001F010000}"/>
    <hyperlink ref="AD292" r:id="rId289" xr:uid="{00000000-0004-0000-0000-000020010000}"/>
    <hyperlink ref="AD293" r:id="rId290" xr:uid="{00000000-0004-0000-0000-000021010000}"/>
    <hyperlink ref="AD294" r:id="rId291" xr:uid="{00000000-0004-0000-0000-000022010000}"/>
    <hyperlink ref="AD296" r:id="rId292" xr:uid="{00000000-0004-0000-0000-000023010000}"/>
    <hyperlink ref="AD297" r:id="rId293" xr:uid="{00000000-0004-0000-0000-000024010000}"/>
    <hyperlink ref="AD298" r:id="rId294" xr:uid="{00000000-0004-0000-0000-000025010000}"/>
    <hyperlink ref="AD299" r:id="rId295" xr:uid="{00000000-0004-0000-0000-000026010000}"/>
    <hyperlink ref="AD300" r:id="rId296" xr:uid="{00000000-0004-0000-0000-000027010000}"/>
    <hyperlink ref="AD301" r:id="rId297" xr:uid="{00000000-0004-0000-0000-000028010000}"/>
    <hyperlink ref="AD302" r:id="rId298" xr:uid="{00000000-0004-0000-0000-000029010000}"/>
    <hyperlink ref="AD303" r:id="rId299" xr:uid="{00000000-0004-0000-0000-00002A010000}"/>
    <hyperlink ref="AD304" r:id="rId300" xr:uid="{00000000-0004-0000-0000-00002B010000}"/>
    <hyperlink ref="AD305" r:id="rId301" xr:uid="{00000000-0004-0000-0000-00002C010000}"/>
    <hyperlink ref="AD306" r:id="rId302" xr:uid="{00000000-0004-0000-0000-00002D010000}"/>
    <hyperlink ref="AD307" r:id="rId303" xr:uid="{00000000-0004-0000-0000-00002E010000}"/>
    <hyperlink ref="AD308" r:id="rId304" xr:uid="{00000000-0004-0000-0000-00002F010000}"/>
    <hyperlink ref="AD309" r:id="rId305" xr:uid="{00000000-0004-0000-0000-000030010000}"/>
    <hyperlink ref="AD316" r:id="rId306" xr:uid="{00000000-0004-0000-0000-000031010000}"/>
    <hyperlink ref="AD317" r:id="rId307" xr:uid="{00000000-0004-0000-0000-000032010000}"/>
    <hyperlink ref="AD318" r:id="rId308" xr:uid="{00000000-0004-0000-0000-000033010000}"/>
    <hyperlink ref="AD319" r:id="rId309" xr:uid="{00000000-0004-0000-0000-000034010000}"/>
    <hyperlink ref="AD320" r:id="rId310" xr:uid="{00000000-0004-0000-0000-000035010000}"/>
    <hyperlink ref="AD321" r:id="rId311" xr:uid="{00000000-0004-0000-0000-000036010000}"/>
    <hyperlink ref="AD323" r:id="rId312" xr:uid="{00000000-0004-0000-0000-000037010000}"/>
    <hyperlink ref="AD324" r:id="rId313" xr:uid="{00000000-0004-0000-0000-000038010000}"/>
    <hyperlink ref="AD325" r:id="rId314" xr:uid="{00000000-0004-0000-0000-000039010000}"/>
    <hyperlink ref="AD326" r:id="rId315" xr:uid="{00000000-0004-0000-0000-00003A010000}"/>
    <hyperlink ref="AD327" r:id="rId316" xr:uid="{00000000-0004-0000-0000-00003B010000}"/>
    <hyperlink ref="AD328" r:id="rId317" xr:uid="{00000000-0004-0000-0000-00003C010000}"/>
    <hyperlink ref="AD329" r:id="rId318" xr:uid="{00000000-0004-0000-0000-00003D010000}"/>
    <hyperlink ref="AD330" r:id="rId319" xr:uid="{00000000-0004-0000-0000-00003E010000}"/>
    <hyperlink ref="AD331" r:id="rId320" xr:uid="{00000000-0004-0000-0000-00003F010000}"/>
    <hyperlink ref="AD332" r:id="rId321" xr:uid="{00000000-0004-0000-0000-000040010000}"/>
    <hyperlink ref="AD333" r:id="rId322" xr:uid="{00000000-0004-0000-0000-000041010000}"/>
    <hyperlink ref="AD334" r:id="rId323" xr:uid="{00000000-0004-0000-0000-000042010000}"/>
    <hyperlink ref="AD335" r:id="rId324" xr:uid="{00000000-0004-0000-0000-000043010000}"/>
    <hyperlink ref="AD336" r:id="rId325" xr:uid="{00000000-0004-0000-0000-000044010000}"/>
    <hyperlink ref="AD337" r:id="rId326" xr:uid="{00000000-0004-0000-0000-000045010000}"/>
    <hyperlink ref="AD338" r:id="rId327" xr:uid="{00000000-0004-0000-0000-000046010000}"/>
    <hyperlink ref="AD339" r:id="rId328" xr:uid="{00000000-0004-0000-0000-000047010000}"/>
    <hyperlink ref="AD340" r:id="rId329" xr:uid="{00000000-0004-0000-0000-000048010000}"/>
    <hyperlink ref="AD341" r:id="rId330" xr:uid="{00000000-0004-0000-0000-000049010000}"/>
    <hyperlink ref="AD342" r:id="rId331" xr:uid="{00000000-0004-0000-0000-00004A010000}"/>
    <hyperlink ref="AD343" r:id="rId332" xr:uid="{00000000-0004-0000-0000-00004B010000}"/>
    <hyperlink ref="AD344" r:id="rId333" xr:uid="{00000000-0004-0000-0000-00004C010000}"/>
    <hyperlink ref="AD345" r:id="rId334" xr:uid="{00000000-0004-0000-0000-00004D010000}"/>
    <hyperlink ref="AD346" r:id="rId335" xr:uid="{00000000-0004-0000-0000-00004E010000}"/>
    <hyperlink ref="AD347" r:id="rId336" xr:uid="{00000000-0004-0000-0000-00004F010000}"/>
    <hyperlink ref="AD348" r:id="rId337" xr:uid="{00000000-0004-0000-0000-000050010000}"/>
    <hyperlink ref="AD349" r:id="rId338" xr:uid="{00000000-0004-0000-0000-000051010000}"/>
    <hyperlink ref="AD350" r:id="rId339" xr:uid="{00000000-0004-0000-0000-000052010000}"/>
    <hyperlink ref="AD322" r:id="rId340" xr:uid="{00000000-0004-0000-0000-000053010000}"/>
  </hyperlinks>
  <pageMargins left="0.7" right="0.7" top="0.75" bottom="0.75" header="0.3" footer="0.3"/>
  <pageSetup orientation="portrait" r:id="rId3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zoomScale="145" zoomScaleNormal="145" workbookViewId="0">
      <selection activeCell="B4" sqref="B4"/>
    </sheetView>
  </sheetViews>
  <sheetFormatPr baseColWidth="10" defaultColWidth="8.83203125" defaultRowHeight="15" x14ac:dyDescent="0.2"/>
  <sheetData>
    <row r="1" spans="1:12" x14ac:dyDescent="0.2">
      <c r="A1" t="s">
        <v>81</v>
      </c>
    </row>
    <row r="2" spans="1:12" x14ac:dyDescent="0.2">
      <c r="A2">
        <v>96485.33</v>
      </c>
      <c r="B2" s="1" t="s">
        <v>79</v>
      </c>
      <c r="D2" s="16" t="s">
        <v>529</v>
      </c>
      <c r="E2" s="16"/>
      <c r="F2" s="16"/>
      <c r="G2" s="16"/>
      <c r="H2" t="s">
        <v>537</v>
      </c>
      <c r="K2" t="s">
        <v>538</v>
      </c>
    </row>
    <row r="3" spans="1:12" x14ac:dyDescent="0.2">
      <c r="B3">
        <f>A2/3600/231.4</f>
        <v>0.11582316575434554</v>
      </c>
      <c r="D3" t="s">
        <v>530</v>
      </c>
      <c r="E3">
        <v>1</v>
      </c>
      <c r="H3" t="s">
        <v>15</v>
      </c>
      <c r="I3">
        <v>2</v>
      </c>
      <c r="K3" t="s">
        <v>539</v>
      </c>
      <c r="L3">
        <v>1</v>
      </c>
    </row>
    <row r="4" spans="1:12" x14ac:dyDescent="0.2">
      <c r="B4">
        <f>2.5*A2/3600/408</f>
        <v>0.1642247583061002</v>
      </c>
      <c r="D4" t="s">
        <v>531</v>
      </c>
      <c r="E4">
        <v>2</v>
      </c>
      <c r="H4" t="s">
        <v>535</v>
      </c>
      <c r="I4">
        <v>3</v>
      </c>
      <c r="K4" t="s">
        <v>540</v>
      </c>
      <c r="L4">
        <v>2</v>
      </c>
    </row>
    <row r="5" spans="1:12" x14ac:dyDescent="0.2">
      <c r="B5">
        <f>3*A2/3600/408</f>
        <v>0.19706970996732026</v>
      </c>
      <c r="D5" t="s">
        <v>532</v>
      </c>
      <c r="E5">
        <v>3</v>
      </c>
      <c r="H5" t="s">
        <v>39</v>
      </c>
      <c r="I5">
        <v>1</v>
      </c>
      <c r="K5" t="s">
        <v>541</v>
      </c>
      <c r="L5">
        <v>3</v>
      </c>
    </row>
    <row r="6" spans="1:12" x14ac:dyDescent="0.2">
      <c r="D6" t="s">
        <v>533</v>
      </c>
      <c r="E6">
        <v>4</v>
      </c>
      <c r="H6" t="s">
        <v>340</v>
      </c>
      <c r="I6">
        <v>4</v>
      </c>
      <c r="K6" t="s">
        <v>542</v>
      </c>
      <c r="L6">
        <v>4</v>
      </c>
    </row>
    <row r="7" spans="1:12" x14ac:dyDescent="0.2">
      <c r="D7" t="s">
        <v>534</v>
      </c>
      <c r="E7">
        <v>5</v>
      </c>
    </row>
    <row r="8" spans="1:12" x14ac:dyDescent="0.2">
      <c r="D8" t="s">
        <v>656</v>
      </c>
      <c r="E8">
        <v>6</v>
      </c>
    </row>
    <row r="10" spans="1:12" x14ac:dyDescent="0.2">
      <c r="C10">
        <f>A2/3600/183</f>
        <v>0.1464561778992107</v>
      </c>
    </row>
    <row r="13" spans="1:12" x14ac:dyDescent="0.2">
      <c r="C13">
        <f>7*(1+1/18)+5/12*59+19/36*55+32</f>
        <v>93</v>
      </c>
    </row>
  </sheetData>
  <mergeCells count="1">
    <mergeCell ref="D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F3" sqref="F3"/>
    </sheetView>
  </sheetViews>
  <sheetFormatPr baseColWidth="10" defaultColWidth="8.83203125" defaultRowHeight="15" x14ac:dyDescent="0.2"/>
  <cols>
    <col min="1" max="1" width="9.6640625" bestFit="1" customWidth="1"/>
    <col min="2" max="2" width="10.5" customWidth="1"/>
    <col min="3" max="4" width="10.6640625" bestFit="1" customWidth="1"/>
    <col min="5" max="6" width="9.6640625" bestFit="1" customWidth="1"/>
  </cols>
  <sheetData>
    <row r="1" spans="1:6" x14ac:dyDescent="0.2">
      <c r="A1" s="8">
        <v>41586</v>
      </c>
      <c r="B1" s="8">
        <v>41591</v>
      </c>
      <c r="C1" s="8">
        <v>41593</v>
      </c>
      <c r="D1" s="8">
        <v>41604</v>
      </c>
      <c r="E1" s="8">
        <v>41610</v>
      </c>
      <c r="F1" s="8">
        <v>41611</v>
      </c>
    </row>
    <row r="2" spans="1:6" x14ac:dyDescent="0.2">
      <c r="A2">
        <v>165</v>
      </c>
      <c r="B2">
        <v>200</v>
      </c>
      <c r="C2">
        <v>204</v>
      </c>
      <c r="D2">
        <v>241</v>
      </c>
      <c r="E2">
        <v>261</v>
      </c>
      <c r="F2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C1" sqref="C1:C9"/>
    </sheetView>
  </sheetViews>
  <sheetFormatPr baseColWidth="10" defaultColWidth="8.83203125" defaultRowHeight="15" x14ac:dyDescent="0.2"/>
  <sheetData>
    <row r="1" spans="1:4" x14ac:dyDescent="0.2">
      <c r="A1">
        <v>5</v>
      </c>
      <c r="B1">
        <v>288</v>
      </c>
      <c r="C1">
        <f>A1/B1</f>
        <v>1.7361111111111112E-2</v>
      </c>
      <c r="D1">
        <v>0.13</v>
      </c>
    </row>
    <row r="2" spans="1:4" x14ac:dyDescent="0.2">
      <c r="A2">
        <v>10</v>
      </c>
      <c r="B2">
        <v>288</v>
      </c>
      <c r="C2">
        <f t="shared" ref="C2:C9" si="0">A2/B2</f>
        <v>3.4722222222222224E-2</v>
      </c>
      <c r="D2">
        <v>0.25</v>
      </c>
    </row>
    <row r="3" spans="1:4" x14ac:dyDescent="0.2">
      <c r="A3">
        <v>20</v>
      </c>
      <c r="B3">
        <v>288</v>
      </c>
      <c r="C3">
        <f t="shared" si="0"/>
        <v>6.9444444444444448E-2</v>
      </c>
      <c r="D3">
        <v>0.8</v>
      </c>
    </row>
    <row r="4" spans="1:4" x14ac:dyDescent="0.2">
      <c r="A4">
        <v>40</v>
      </c>
      <c r="B4">
        <v>288</v>
      </c>
      <c r="C4">
        <f t="shared" si="0"/>
        <v>0.1388888888888889</v>
      </c>
      <c r="D4">
        <v>1.3</v>
      </c>
    </row>
    <row r="5" spans="1:4" x14ac:dyDescent="0.2">
      <c r="A5">
        <v>80</v>
      </c>
      <c r="B5">
        <v>288</v>
      </c>
      <c r="C5">
        <f t="shared" si="0"/>
        <v>0.27777777777777779</v>
      </c>
      <c r="D5">
        <v>2.7</v>
      </c>
    </row>
    <row r="6" spans="1:4" x14ac:dyDescent="0.2">
      <c r="A6">
        <v>120</v>
      </c>
      <c r="B6">
        <v>288</v>
      </c>
      <c r="C6">
        <f t="shared" si="0"/>
        <v>0.41666666666666669</v>
      </c>
    </row>
    <row r="7" spans="1:4" x14ac:dyDescent="0.2">
      <c r="A7">
        <v>180</v>
      </c>
      <c r="B7">
        <v>288</v>
      </c>
      <c r="C7">
        <f t="shared" si="0"/>
        <v>0.625</v>
      </c>
    </row>
    <row r="8" spans="1:4" x14ac:dyDescent="0.2">
      <c r="A8">
        <v>200</v>
      </c>
      <c r="B8">
        <v>288</v>
      </c>
      <c r="C8">
        <f t="shared" si="0"/>
        <v>0.69444444444444442</v>
      </c>
    </row>
    <row r="9" spans="1:4" x14ac:dyDescent="0.2">
      <c r="A9">
        <v>400</v>
      </c>
      <c r="B9">
        <v>288</v>
      </c>
      <c r="C9">
        <f t="shared" si="0"/>
        <v>1.3888888888888888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>
      <selection activeCell="M25" sqref="M25"/>
    </sheetView>
  </sheetViews>
  <sheetFormatPr baseColWidth="10" defaultColWidth="8.83203125" defaultRowHeight="15" x14ac:dyDescent="0.2"/>
  <sheetData>
    <row r="1" spans="1:9" x14ac:dyDescent="0.2">
      <c r="A1" t="s">
        <v>665</v>
      </c>
      <c r="B1" t="s">
        <v>666</v>
      </c>
      <c r="C1" t="s">
        <v>667</v>
      </c>
      <c r="D1" t="s">
        <v>668</v>
      </c>
      <c r="E1" t="s">
        <v>669</v>
      </c>
      <c r="F1" t="s">
        <v>670</v>
      </c>
    </row>
    <row r="2" spans="1:9" x14ac:dyDescent="0.2">
      <c r="A2">
        <v>1</v>
      </c>
      <c r="B2">
        <v>8</v>
      </c>
      <c r="C2">
        <v>151</v>
      </c>
      <c r="D2">
        <v>32</v>
      </c>
      <c r="E2">
        <v>10</v>
      </c>
      <c r="F2">
        <f>(D2-C2)/(B2-A2)*(E2-A2)+C2</f>
        <v>-2</v>
      </c>
    </row>
    <row r="3" spans="1:9" x14ac:dyDescent="0.2">
      <c r="G3">
        <f>F3/F2</f>
        <v>0</v>
      </c>
    </row>
    <row r="4" spans="1:9" x14ac:dyDescent="0.2">
      <c r="I4">
        <f>166.4</f>
        <v>166.4</v>
      </c>
    </row>
    <row r="10" spans="1:9" x14ac:dyDescent="0.2">
      <c r="H10">
        <v>20</v>
      </c>
      <c r="I10">
        <f>H10/147</f>
        <v>0.1360544217687075</v>
      </c>
    </row>
    <row r="11" spans="1:9" x14ac:dyDescent="0.2">
      <c r="H11">
        <v>80</v>
      </c>
      <c r="I11">
        <f t="shared" ref="I11:I14" si="0">H11/147</f>
        <v>0.54421768707482998</v>
      </c>
    </row>
    <row r="12" spans="1:9" x14ac:dyDescent="0.2">
      <c r="H12">
        <v>160</v>
      </c>
      <c r="I12">
        <f t="shared" si="0"/>
        <v>1.08843537414966</v>
      </c>
    </row>
    <row r="13" spans="1:9" x14ac:dyDescent="0.2">
      <c r="H13">
        <v>240</v>
      </c>
      <c r="I13">
        <f t="shared" si="0"/>
        <v>1.6326530612244898</v>
      </c>
    </row>
    <row r="14" spans="1:9" x14ac:dyDescent="0.2">
      <c r="H14">
        <v>320</v>
      </c>
      <c r="I14">
        <f t="shared" si="0"/>
        <v>2.1768707482993199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</dc:creator>
  <cp:lastModifiedBy>Vinay Hegde</cp:lastModifiedBy>
  <cp:lastPrinted>2013-10-10T21:40:08Z</cp:lastPrinted>
  <dcterms:created xsi:type="dcterms:W3CDTF">2013-09-25T15:09:36Z</dcterms:created>
  <dcterms:modified xsi:type="dcterms:W3CDTF">2021-01-29T18:25:01Z</dcterms:modified>
</cp:coreProperties>
</file>