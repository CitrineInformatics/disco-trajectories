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vhegde/Codes/matdisco-trajectories/raw_data/anodes_sparks/"/>
    </mc:Choice>
  </mc:AlternateContent>
  <xr:revisionPtr revIDLastSave="0" documentId="8_{6275F066-1FA1-F048-BABB-5E76D3516050}" xr6:coauthVersionLast="46" xr6:coauthVersionMax="46" xr10:uidLastSave="{00000000-0000-0000-0000-000000000000}"/>
  <bookViews>
    <workbookView xWindow="0" yWindow="460" windowWidth="38400" windowHeight="21140" tabRatio="5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10" i="1" l="1"/>
  <c r="AQ210" i="1"/>
  <c r="AR209" i="1"/>
  <c r="AQ209" i="1"/>
  <c r="AR208" i="1"/>
  <c r="AQ208" i="1"/>
  <c r="AR206" i="1"/>
  <c r="AQ206" i="1"/>
  <c r="AR202" i="1"/>
  <c r="AQ202" i="1"/>
  <c r="AQ200" i="1"/>
  <c r="AR200" i="1"/>
  <c r="AQ199" i="1"/>
  <c r="AR199" i="1"/>
  <c r="AR198" i="1"/>
  <c r="AR197" i="1"/>
  <c r="AR196" i="1"/>
  <c r="AQ198" i="1"/>
  <c r="AQ196" i="1"/>
  <c r="AQ197" i="1"/>
  <c r="AR195" i="1"/>
  <c r="AR194" i="1"/>
  <c r="AQ195" i="1"/>
  <c r="AQ194" i="1"/>
  <c r="AQ191" i="1"/>
  <c r="AR191" i="1"/>
  <c r="AQ190" i="1"/>
  <c r="AR190" i="1"/>
  <c r="AQ189" i="1"/>
  <c r="AR189" i="1"/>
  <c r="AQ188" i="1"/>
  <c r="AR188" i="1"/>
  <c r="AQ187" i="1"/>
  <c r="AR187" i="1"/>
  <c r="AQ186" i="1"/>
  <c r="AR186" i="1"/>
  <c r="AQ185" i="1"/>
  <c r="AR185" i="1"/>
  <c r="AQ184" i="1"/>
  <c r="AR184" i="1"/>
  <c r="AQ183" i="1"/>
  <c r="AR183" i="1"/>
  <c r="AR182" i="1"/>
  <c r="AR181" i="1"/>
  <c r="AR180" i="1"/>
  <c r="AQ182" i="1"/>
  <c r="AQ181" i="1"/>
  <c r="AQ180" i="1"/>
  <c r="AR179" i="1"/>
  <c r="AR178" i="1"/>
  <c r="AR177" i="1"/>
  <c r="AQ179" i="1"/>
  <c r="AQ178" i="1"/>
  <c r="AQ177" i="1"/>
  <c r="AQ173" i="1"/>
  <c r="AR173" i="1"/>
  <c r="AQ172" i="1"/>
  <c r="AR172" i="1"/>
  <c r="AQ171" i="1"/>
  <c r="AR171" i="1"/>
  <c r="AQ170" i="1"/>
  <c r="AR170" i="1"/>
  <c r="AQ169" i="1"/>
  <c r="AR169" i="1"/>
  <c r="AR168" i="1"/>
  <c r="AR167" i="1"/>
  <c r="AR166" i="1"/>
  <c r="AQ168" i="1"/>
  <c r="AQ167" i="1"/>
  <c r="AQ166" i="1"/>
  <c r="AR165" i="1"/>
  <c r="AQ165" i="1"/>
  <c r="AR164" i="1"/>
  <c r="AQ164" i="1"/>
  <c r="AR163" i="1"/>
  <c r="AQ163" i="1"/>
  <c r="AR160" i="1"/>
  <c r="AR159" i="1"/>
  <c r="AR158" i="1"/>
  <c r="AQ160" i="1"/>
  <c r="AQ159" i="1"/>
  <c r="AQ158" i="1"/>
  <c r="AR156" i="1"/>
  <c r="AQ156" i="1"/>
  <c r="AR154" i="1"/>
  <c r="AQ154" i="1"/>
  <c r="AR153" i="1"/>
  <c r="AQ153" i="1"/>
  <c r="AX147" i="1"/>
  <c r="AR152" i="1"/>
  <c r="AQ152" i="1"/>
  <c r="AR147" i="1"/>
  <c r="AR143" i="1"/>
  <c r="AR142" i="1"/>
  <c r="AQ147" i="1"/>
  <c r="AQ143" i="1"/>
  <c r="AQ142" i="1"/>
  <c r="AR137" i="1"/>
  <c r="AR136" i="1"/>
  <c r="AR135" i="1"/>
  <c r="AQ137" i="1"/>
  <c r="AQ135" i="1"/>
  <c r="AQ136" i="1"/>
  <c r="AX127" i="1"/>
  <c r="AX122" i="1"/>
  <c r="AX121" i="1"/>
  <c r="AX120" i="1"/>
  <c r="AX119" i="1"/>
  <c r="AX118" i="1"/>
  <c r="AX117" i="1"/>
  <c r="AX116" i="1"/>
  <c r="AX115" i="1"/>
  <c r="AX114" i="1"/>
  <c r="AX113" i="1"/>
  <c r="AX111" i="1"/>
  <c r="AX110" i="1"/>
  <c r="AX109" i="1"/>
  <c r="AX105" i="1"/>
  <c r="AX104" i="1"/>
  <c r="AX103" i="1"/>
  <c r="AX102" i="1"/>
  <c r="AX101" i="1"/>
  <c r="AX100" i="1"/>
  <c r="AX99" i="1"/>
  <c r="AX98" i="1"/>
  <c r="AX97" i="1"/>
  <c r="AX80" i="1"/>
  <c r="AX79" i="1"/>
  <c r="AX78" i="1"/>
  <c r="AX74" i="1"/>
  <c r="AR127" i="1"/>
  <c r="AQ127" i="1"/>
  <c r="AR122" i="1"/>
  <c r="AQ121" i="1"/>
  <c r="AR121" i="1"/>
  <c r="AQ120" i="1"/>
  <c r="AR120" i="1"/>
  <c r="AQ119" i="1"/>
  <c r="AR119" i="1"/>
  <c r="AQ118" i="1"/>
  <c r="AR118" i="1"/>
  <c r="AQ117" i="1"/>
  <c r="AR117" i="1"/>
  <c r="AQ116" i="1"/>
  <c r="AR116" i="1"/>
  <c r="AQ115" i="1"/>
  <c r="AR115" i="1"/>
  <c r="AQ114" i="1"/>
  <c r="AR114" i="1"/>
  <c r="AR113" i="1"/>
  <c r="AR111" i="1"/>
  <c r="AQ113" i="1"/>
  <c r="AQ111" i="1"/>
  <c r="AR109" i="1"/>
  <c r="AQ109" i="1"/>
  <c r="AR110" i="1"/>
  <c r="AQ110" i="1"/>
  <c r="AQ105" i="1"/>
  <c r="AR105" i="1"/>
  <c r="AR104" i="1"/>
  <c r="AQ104" i="1"/>
  <c r="AQ103" i="1"/>
  <c r="AR103" i="1"/>
  <c r="AQ102" i="1"/>
  <c r="AR102" i="1"/>
  <c r="AQ101" i="1"/>
  <c r="AR101" i="1"/>
  <c r="AQ100" i="1"/>
  <c r="AR100" i="1"/>
  <c r="AQ99" i="1"/>
  <c r="AR99" i="1"/>
  <c r="AQ98" i="1"/>
  <c r="AR98" i="1"/>
  <c r="AQ97" i="1"/>
  <c r="AR97" i="1"/>
  <c r="AQ96" i="1"/>
  <c r="AR96" i="1"/>
  <c r="AQ95" i="1"/>
  <c r="AR95" i="1"/>
  <c r="AR94" i="1"/>
  <c r="AR93" i="1"/>
  <c r="AR92" i="1"/>
  <c r="AQ93" i="1"/>
  <c r="AQ94" i="1"/>
  <c r="AQ92" i="1"/>
  <c r="AE84" i="1"/>
  <c r="AR91" i="1"/>
  <c r="AR88" i="1"/>
  <c r="AR87" i="1"/>
  <c r="AQ91" i="1"/>
  <c r="AQ88" i="1"/>
  <c r="AQ87" i="1"/>
  <c r="AQ83" i="1"/>
  <c r="AR83" i="1"/>
  <c r="AQ82" i="1"/>
  <c r="AR82" i="1"/>
  <c r="AQ81" i="1"/>
  <c r="AR81" i="1"/>
  <c r="AR80" i="1"/>
  <c r="AR79" i="1"/>
  <c r="AR78" i="1"/>
  <c r="AQ80" i="1"/>
  <c r="AQ79" i="1"/>
  <c r="AQ78" i="1"/>
  <c r="AR76" i="1"/>
  <c r="AQ76" i="1"/>
  <c r="AR75" i="1"/>
  <c r="AQ75" i="1"/>
  <c r="AR74" i="1"/>
  <c r="AR71" i="1"/>
  <c r="AR70" i="1"/>
  <c r="AR69" i="1"/>
  <c r="AR68" i="1"/>
  <c r="AR67" i="1"/>
  <c r="AR66" i="1"/>
  <c r="AR65" i="1"/>
  <c r="AR64" i="1"/>
  <c r="AR63" i="1"/>
  <c r="AR62" i="1"/>
  <c r="AR61" i="1"/>
  <c r="AR59" i="1"/>
  <c r="AR58" i="1"/>
  <c r="AR57" i="1"/>
  <c r="AR56" i="1"/>
  <c r="AQ71" i="1"/>
  <c r="AQ70" i="1"/>
  <c r="AQ69" i="1"/>
  <c r="AQ68" i="1"/>
  <c r="AQ67" i="1"/>
  <c r="AQ66" i="1"/>
  <c r="AQ65" i="1"/>
  <c r="AQ64" i="1"/>
  <c r="AQ63" i="1"/>
  <c r="AQ62" i="1"/>
  <c r="AQ61" i="1"/>
  <c r="AQ59" i="1"/>
  <c r="AQ58" i="1"/>
  <c r="AQ57" i="1"/>
  <c r="AQ56" i="1"/>
  <c r="AQ74" i="1"/>
  <c r="AF29" i="1"/>
  <c r="AF28" i="1"/>
  <c r="AF27" i="1"/>
  <c r="AF26" i="1"/>
  <c r="AE29" i="1"/>
  <c r="AE28" i="1"/>
  <c r="AE27" i="1"/>
  <c r="AE26" i="1"/>
  <c r="AD7" i="1"/>
  <c r="AC7" i="1"/>
  <c r="AF47" i="1"/>
  <c r="AF46" i="1"/>
  <c r="AF45" i="1"/>
  <c r="AF44" i="1"/>
  <c r="AF43" i="1"/>
  <c r="AE47" i="1"/>
  <c r="AE46" i="1"/>
  <c r="AE45" i="1"/>
  <c r="AE44" i="1"/>
  <c r="AE43" i="1"/>
  <c r="AC51" i="1"/>
  <c r="AC50" i="1"/>
  <c r="AC49" i="1"/>
  <c r="AC48" i="1"/>
  <c r="AD51" i="1"/>
  <c r="AD50" i="1"/>
  <c r="AD49" i="1"/>
  <c r="AD48" i="1"/>
  <c r="AD55" i="1"/>
  <c r="AD54" i="1"/>
  <c r="AC55" i="1"/>
  <c r="AC54" i="1"/>
  <c r="AR51" i="1"/>
  <c r="AR50" i="1"/>
  <c r="AR49" i="1"/>
  <c r="AR48" i="1"/>
  <c r="AQ51" i="1"/>
  <c r="AQ50" i="1"/>
  <c r="AQ49" i="1"/>
  <c r="AQ48" i="1"/>
  <c r="AR15" i="1"/>
  <c r="AR14" i="1"/>
  <c r="AR13" i="1"/>
  <c r="AR42" i="1"/>
  <c r="AR11" i="1"/>
  <c r="AR10" i="1"/>
  <c r="AR12" i="1"/>
  <c r="AR33" i="1"/>
  <c r="AR32" i="1"/>
  <c r="AR31" i="1"/>
  <c r="AR30" i="1"/>
  <c r="AQ15" i="1"/>
  <c r="AQ14" i="1"/>
  <c r="AQ13" i="1"/>
  <c r="AQ42" i="1"/>
  <c r="AQ11" i="1"/>
  <c r="AQ10" i="1"/>
  <c r="AQ12" i="1"/>
  <c r="AQ33" i="1"/>
  <c r="AQ32" i="1"/>
  <c r="AQ31" i="1"/>
  <c r="AQ30" i="1"/>
</calcChain>
</file>

<file path=xl/sharedStrings.xml><?xml version="1.0" encoding="utf-8"?>
<sst xmlns="http://schemas.openxmlformats.org/spreadsheetml/2006/main" count="3168" uniqueCount="960">
  <si>
    <t>cathode material</t>
  </si>
  <si>
    <t>electrode composition</t>
  </si>
  <si>
    <t>mode of discharge</t>
  </si>
  <si>
    <t>comment</t>
  </si>
  <si>
    <t>C color</t>
  </si>
  <si>
    <t>Synthesis route</t>
  </si>
  <si>
    <t>anode material</t>
  </si>
  <si>
    <t>A color</t>
  </si>
  <si>
    <t>electrolyte material</t>
  </si>
  <si>
    <t>E color</t>
  </si>
  <si>
    <t>current collector</t>
  </si>
  <si>
    <t>Author</t>
  </si>
  <si>
    <t>URL of publication</t>
  </si>
  <si>
    <t>primary or secondary</t>
  </si>
  <si>
    <t>Battery cell</t>
  </si>
  <si>
    <t>Seprator</t>
  </si>
  <si>
    <t>Lattice Parameter of cathode</t>
  </si>
  <si>
    <t>Space group of cathode</t>
  </si>
  <si>
    <t>c rate of charge</t>
  </si>
  <si>
    <t>c rate of discharge</t>
  </si>
  <si>
    <t>estimated theoretical capacity</t>
  </si>
  <si>
    <t>C rate (charge current)mA g-1</t>
  </si>
  <si>
    <t>C rate (discharge current)mA g-1</t>
  </si>
  <si>
    <t>highest initial discharge capacity</t>
  </si>
  <si>
    <t>C1 discharge(or initial highest)</t>
  </si>
  <si>
    <t>Specific Discharge Capacity at 25 Cycle(mAh g-1)</t>
  </si>
  <si>
    <t>Specific Discharge Capacity at 50 Cycle(mAh g-1)</t>
  </si>
  <si>
    <t>Specific Discharge Capacity at 100 Cycle(mAh g-1)</t>
  </si>
  <si>
    <t>comments</t>
  </si>
  <si>
    <t>Capacity Retention after 50 Cycles</t>
  </si>
  <si>
    <t>capacity loss per cycle</t>
  </si>
  <si>
    <t>Capacity Retention after 1 Cycles</t>
  </si>
  <si>
    <t>highest discharged C reported(mAh g-1)</t>
  </si>
  <si>
    <t>effective DC resistance(Ω)</t>
  </si>
  <si>
    <r>
      <t>Charge Resistance(</t>
    </r>
    <r>
      <rPr>
        <sz val="11"/>
        <color indexed="8"/>
        <rFont val="Calibri"/>
      </rPr>
      <t>Ω)</t>
    </r>
  </si>
  <si>
    <t>coulombic efficiency</t>
  </si>
  <si>
    <t>shelf life order</t>
  </si>
  <si>
    <t>rating performance</t>
  </si>
  <si>
    <t>operating voltage</t>
  </si>
  <si>
    <t>redox species</t>
  </si>
  <si>
    <t>irreversible capacity at first cycle</t>
  </si>
  <si>
    <t>life cycle (# until XXX)</t>
  </si>
  <si>
    <t>energy density</t>
  </si>
  <si>
    <t>E rate (power discharge)</t>
  </si>
  <si>
    <t>open circuit voltage</t>
  </si>
  <si>
    <t>Ah (current for specific C rate)</t>
  </si>
  <si>
    <t>Wh (energy for specific C rate)</t>
  </si>
  <si>
    <t>specific energy (energy per mass)</t>
  </si>
  <si>
    <t>energy density (energy per volume)</t>
  </si>
  <si>
    <t>specific power (power per mass)</t>
  </si>
  <si>
    <t>max continuous discharge current</t>
  </si>
  <si>
    <t>charge voltage</t>
  </si>
  <si>
    <t xml:space="preserve">specific capacitance </t>
  </si>
  <si>
    <t>capacitance density</t>
  </si>
  <si>
    <t>ionic conductivity</t>
  </si>
  <si>
    <t>volumetric expansion (upon insertion of ions)</t>
  </si>
  <si>
    <t>Young's or Bulk modulus (one or the other!)</t>
  </si>
  <si>
    <t>fracture toughness</t>
  </si>
  <si>
    <t>efficiency?</t>
  </si>
  <si>
    <t>internal self discharge</t>
  </si>
  <si>
    <t>toxicity (good, bad, moderate)</t>
  </si>
  <si>
    <t>cost ???</t>
  </si>
  <si>
    <t>voltage hysteresis</t>
  </si>
  <si>
    <t>internal resistance</t>
  </si>
  <si>
    <t>%</t>
  </si>
  <si>
    <t>temperature of operation (°C)</t>
  </si>
  <si>
    <t>Voltage range (low)</t>
  </si>
  <si>
    <t>Voltage range (high)</t>
  </si>
  <si>
    <t>NiO</t>
  </si>
  <si>
    <t>Mn2O3</t>
  </si>
  <si>
    <t>Ni0.75Mn0.25O1.36</t>
  </si>
  <si>
    <t>Ni0.25Mn0.75O1.38</t>
  </si>
  <si>
    <t>commercial product</t>
  </si>
  <si>
    <t>solid state reaction</t>
  </si>
  <si>
    <t>Li</t>
  </si>
  <si>
    <t>LI</t>
  </si>
  <si>
    <t>25 cycle actually at 20</t>
  </si>
  <si>
    <t>Liu2005JPS</t>
  </si>
  <si>
    <t>http://dx.doi.org/10.1016/j.jpowsour.2005.03.206</t>
  </si>
  <si>
    <t>25 cycle actually at 22</t>
  </si>
  <si>
    <t>RT</t>
  </si>
  <si>
    <t>0.25 mA/cm^2</t>
  </si>
  <si>
    <t>conversion</t>
  </si>
  <si>
    <t>α-MnS</t>
  </si>
  <si>
    <t>1M LiPF6 EC/DMC 1:1 v/v</t>
  </si>
  <si>
    <t>Celgard 2400</t>
  </si>
  <si>
    <t>Zhang2008MCP</t>
  </si>
  <si>
    <t>conversion proposed</t>
  </si>
  <si>
    <t>Fm3M (225)</t>
  </si>
  <si>
    <t>a=5.22</t>
  </si>
  <si>
    <t>autoclaved at 120C</t>
  </si>
  <si>
    <t>autoclaved at 160C</t>
  </si>
  <si>
    <t>autoclaved at 180C</t>
  </si>
  <si>
    <t>http://dx.doi.org/10.1016/j.matchemphys.2008.03.040</t>
  </si>
  <si>
    <t>FeS2</t>
  </si>
  <si>
    <t>1M LiTFSI TEGDME/DOX 3:7 v/v</t>
  </si>
  <si>
    <t>1M LiTFSI  TEGDME/DOX 7:3 v/v</t>
  </si>
  <si>
    <t>Active/PVDF/AB&amp;NMP 60:15:25</t>
  </si>
  <si>
    <t>coin cell</t>
  </si>
  <si>
    <t>ball milled and sieved to &lt;40 μm particles</t>
  </si>
  <si>
    <t>intercalation/conversion</t>
  </si>
  <si>
    <t>Choi2006JPS</t>
  </si>
  <si>
    <t>http://dx.doi.org/10.1016/j.jpowsour.2006.04.075</t>
  </si>
  <si>
    <t>natural product (Chile)</t>
  </si>
  <si>
    <t>Takada1999SSI</t>
  </si>
  <si>
    <t>http://dx.doi.org/10.1016/S0167-2738(98)00413-5</t>
  </si>
  <si>
    <t>Li2FeS2</t>
  </si>
  <si>
    <t>0.01LI3PO4-0.63Li2S-SiS2</t>
  </si>
  <si>
    <t>?</t>
  </si>
  <si>
    <t>25 cycle actually 16</t>
  </si>
  <si>
    <t>CoS2</t>
  </si>
  <si>
    <t>solid state reaction, Ar</t>
  </si>
  <si>
    <t>a=5.531</t>
  </si>
  <si>
    <t>Pa3</t>
  </si>
  <si>
    <t>CR2025 coin cell</t>
  </si>
  <si>
    <t>Active/AB/PVDF&amp;NMP 80:10:10</t>
  </si>
  <si>
    <t>Yan2005JPS</t>
  </si>
  <si>
    <t>Active/AB/PVDF&amp;NMP 70:20:10</t>
  </si>
  <si>
    <t>Active/AB/PVDF&amp;NMP 60:30:10</t>
  </si>
  <si>
    <t>Active/AB/PVDF&amp;NMP 50:40:10</t>
  </si>
  <si>
    <t xml:space="preserve">Li </t>
  </si>
  <si>
    <t>http://dx.doi.org/10.1016/j.jpowsour.2005.03.144</t>
  </si>
  <si>
    <t>Active/PVDF&amp;NMP 95:5</t>
  </si>
  <si>
    <t>CoS2@carbon core-shell nanoparticles</t>
  </si>
  <si>
    <t>http://dx.doi.org/10.1088/0957-4484/19/7/075602</t>
  </si>
  <si>
    <t>0.2 mA/cm^2</t>
  </si>
  <si>
    <t>Celgard 2500</t>
  </si>
  <si>
    <t>co-precipitation</t>
  </si>
  <si>
    <t>1M LiPF6 EC/DEC 1:1 v/v</t>
  </si>
  <si>
    <t>Active/PTFE/AB 85:5:10</t>
  </si>
  <si>
    <t>CoS0.89</t>
  </si>
  <si>
    <t>http://dx.doi.org/ 10.1149/1.2825137</t>
  </si>
  <si>
    <t>1M LiTFSI TEGDME</t>
  </si>
  <si>
    <t>LiCoO2</t>
  </si>
  <si>
    <t>amorphous</t>
  </si>
  <si>
    <t>a=9.928</t>
  </si>
  <si>
    <t>Fm-3m</t>
  </si>
  <si>
    <t>Kim2008JPC</t>
  </si>
  <si>
    <t>http://dx.doi.org/10.1021/jp8038847</t>
  </si>
  <si>
    <t>CrS</t>
  </si>
  <si>
    <t>FeS</t>
  </si>
  <si>
    <t>Ti0.89S</t>
  </si>
  <si>
    <t>V0.87S</t>
  </si>
  <si>
    <t>NiS</t>
  </si>
  <si>
    <t>Active/AB/PTFE 75:15:10</t>
  </si>
  <si>
    <t>2016 coin cell</t>
  </si>
  <si>
    <t>Co0.92S</t>
  </si>
  <si>
    <t>Han2003JAC</t>
  </si>
  <si>
    <t>http://dx.doi.org/10.1016/S0925-8388(03)00380-3</t>
  </si>
  <si>
    <t>50uA/cm^2</t>
  </si>
  <si>
    <t>100uA/cm^2</t>
  </si>
  <si>
    <t>spherical-type nickel</t>
  </si>
  <si>
    <t>flake-type nickel</t>
  </si>
  <si>
    <t>filamentary-type nickel</t>
  </si>
  <si>
    <t>PEO solid polymer</t>
  </si>
  <si>
    <t>Triglyme liquid</t>
  </si>
  <si>
    <t>ball milling, Ar</t>
  </si>
  <si>
    <t>P63/mmc</t>
  </si>
  <si>
    <t>CuS</t>
  </si>
  <si>
    <t>Chung2009JPS</t>
  </si>
  <si>
    <t>http://dx.doi.org/10.1016/S0378-7753(02)00024-1</t>
  </si>
  <si>
    <t>commercial product (Aldrich)</t>
  </si>
  <si>
    <t>Active/KS-6/PVDF&amp;NMP 72:18:10</t>
  </si>
  <si>
    <t>polypropylene film</t>
  </si>
  <si>
    <t>1M LiPF6 EC+2EMC</t>
  </si>
  <si>
    <t>battery material</t>
  </si>
  <si>
    <t>anode</t>
  </si>
  <si>
    <t>cathode</t>
  </si>
  <si>
    <t>intercalation</t>
  </si>
  <si>
    <t>swagelok</t>
  </si>
  <si>
    <t>mechanical milling, Ar</t>
  </si>
  <si>
    <t>80Li2S.20P2S5 (mol %)</t>
  </si>
  <si>
    <t>Active/electrolyte/AB 20:30:3</t>
  </si>
  <si>
    <t>http://dx.doi.org/10.1016/j.electacta.2004.02.061</t>
  </si>
  <si>
    <t>64uA/cm^2</t>
  </si>
  <si>
    <t>CuS3</t>
  </si>
  <si>
    <t>&lt;15</t>
  </si>
  <si>
    <t>Avg Particle size (μm)</t>
  </si>
  <si>
    <t>C25=C20</t>
  </si>
  <si>
    <t>homemade cell</t>
  </si>
  <si>
    <t>Sr2MnO2Cu1.5S2</t>
  </si>
  <si>
    <t>Sr2MnO2Cu3.5S3</t>
  </si>
  <si>
    <t>Sr2MnO2Cu2.5S2.5</t>
  </si>
  <si>
    <t>Active/AB 80:20</t>
  </si>
  <si>
    <t>I4/mmm</t>
  </si>
  <si>
    <t>P4/mmm</t>
  </si>
  <si>
    <t>a=4.0139, c=17.1663</t>
  </si>
  <si>
    <t>a=4.0217, c=11.4180</t>
  </si>
  <si>
    <t>Sr2MnO2Cu5.5S4</t>
  </si>
  <si>
    <t>a=4.0136, c=28.3917</t>
  </si>
  <si>
    <t>2 Whatman GF/D borosilicate glass fiber</t>
  </si>
  <si>
    <t>Indris2006JACS</t>
  </si>
  <si>
    <t>http://dx.doi.org/10.1021/ja064961a</t>
  </si>
  <si>
    <t>1M LiPF6 Ec/DMC 1:1 v/v</t>
  </si>
  <si>
    <t>Li Storage mechanism</t>
  </si>
  <si>
    <t>Active/electrolyte 1:1</t>
  </si>
  <si>
    <t>milled for 15 min</t>
  </si>
  <si>
    <t>Wang2007JPCC</t>
  </si>
  <si>
    <t>http://dx.doi.org/10.1021/jp066655p</t>
  </si>
  <si>
    <t>MoS2 coated C nanotubes</t>
  </si>
  <si>
    <t>CVD/coating synthesis</t>
  </si>
  <si>
    <t>Active/PTFE 90:10</t>
  </si>
  <si>
    <t>1M LiPF6 EC/DMC/DEC 1:1:1 v/v/v</t>
  </si>
  <si>
    <t>0.6mA/cm^2</t>
  </si>
  <si>
    <t>MoS2</t>
  </si>
  <si>
    <t>C nanotubes</t>
  </si>
  <si>
    <t>CVD</t>
  </si>
  <si>
    <t>a=3.161, c=12.299</t>
  </si>
  <si>
    <t>conversion/polymer-like process</t>
  </si>
  <si>
    <t>Li2009JAC</t>
  </si>
  <si>
    <t>Luo2008Nano</t>
  </si>
  <si>
    <t>Gomez-Camer2008JES</t>
  </si>
  <si>
    <t>Hayashi2004EA</t>
  </si>
  <si>
    <t>http://dx.doi.org/10.1016/j.jallcom.2008.03.133</t>
  </si>
  <si>
    <t>ionic liquid assisted hydrothermal sysnthesis</t>
  </si>
  <si>
    <t>Celgard 2300</t>
  </si>
  <si>
    <t>Active/Carbon black/PVDF 75:10:15</t>
  </si>
  <si>
    <t>annealed at 800C, H2N2</t>
  </si>
  <si>
    <t>high-temp reduction, H2</t>
  </si>
  <si>
    <t>WS2 nanotubes</t>
  </si>
  <si>
    <t>Wang2004ESSL</t>
  </si>
  <si>
    <t>http://dx.doi.org/10.1149/1.1788591</t>
  </si>
  <si>
    <t>Active/Carbon blakc/PVDF&amp;DMEP 84:8:8</t>
  </si>
  <si>
    <t>CR2032 coin cell</t>
  </si>
  <si>
    <t>1MLiPF6 EC/DMC 1:1 v/v</t>
  </si>
  <si>
    <t>intercalation/diffusion</t>
  </si>
  <si>
    <t>Feng2007EC</t>
  </si>
  <si>
    <t>http://dx.doi.org/10.1016/j.elecom.2006.08.048</t>
  </si>
  <si>
    <t>WS2 nanoflakes</t>
  </si>
  <si>
    <t>rheological phase reaction</t>
  </si>
  <si>
    <t>Active/Carbon black/PTFE 70:20:10</t>
  </si>
  <si>
    <t>Ni2S3</t>
  </si>
  <si>
    <t>Wang2007APL</t>
  </si>
  <si>
    <t xml:space="preserve">http://dx.doi.org10.1063/1.2716308 </t>
  </si>
  <si>
    <t>34mg/cm^2</t>
  </si>
  <si>
    <t>Celgard 2402</t>
  </si>
  <si>
    <t>Active</t>
  </si>
  <si>
    <t>Cr2O3</t>
  </si>
  <si>
    <t>Hu2005ESSL</t>
  </si>
  <si>
    <t>http://dx.doi.org/10.1149/1.1836123</t>
  </si>
  <si>
    <t>ballmilled for 2 hr</t>
  </si>
  <si>
    <t>ball milled with carbon black 10% wt for 2 hr</t>
  </si>
  <si>
    <t>coated with hard carbon (5.2 wt %)</t>
  </si>
  <si>
    <t>ballmilled with carbon black (10 wt %) then coated with hard carbon (~5 wt %)</t>
  </si>
  <si>
    <t>Active/Carbon black/PVDF&amp;NMP 85:10:5</t>
  </si>
  <si>
    <t>0.2 mg/cm^2</t>
  </si>
  <si>
    <t>CR 2032 coin cell</t>
  </si>
  <si>
    <t>Active/Vulcan XC-72 C/PVDF&amp;NMP 85:10:5</t>
  </si>
  <si>
    <t>Zhao2008CGD</t>
  </si>
  <si>
    <t>http://dx.doi.org/10.1021/cg701044b</t>
  </si>
  <si>
    <t>Lavela2007EA</t>
  </si>
  <si>
    <t>http://dx.doi.org/10.1016/j.electacta.2007.06.066</t>
  </si>
  <si>
    <t>Mn2CoO4</t>
  </si>
  <si>
    <t>Mn1.5Co1.5O4</t>
  </si>
  <si>
    <t>annealed at 600C for 24 hrs</t>
  </si>
  <si>
    <t>annealed at 800C for 24 hrs</t>
  </si>
  <si>
    <t>annealed at 800C for several hours</t>
  </si>
  <si>
    <t>annealed at 1000C for 24 hrs</t>
  </si>
  <si>
    <t>sol-gel preparation</t>
  </si>
  <si>
    <t>MnCo2O4</t>
  </si>
  <si>
    <t>Active/graphite/CB/PVDF 75:10:10:5</t>
  </si>
  <si>
    <t>Ia-3</t>
  </si>
  <si>
    <t>I41/amdZ</t>
  </si>
  <si>
    <t>Fd-3mZ</t>
  </si>
  <si>
    <t>Mn3O4</t>
  </si>
  <si>
    <t>C50=C41</t>
  </si>
  <si>
    <t>C25=C19</t>
  </si>
  <si>
    <t>C50=C46</t>
  </si>
  <si>
    <t>C50=C43</t>
  </si>
  <si>
    <t>C50=C49</t>
  </si>
  <si>
    <t>3?</t>
  </si>
  <si>
    <t>Aragon2007EC</t>
  </si>
  <si>
    <t>http://dx.doi.org/10.1016/j.elecom.2007.03.031</t>
  </si>
  <si>
    <t>MnO</t>
  </si>
  <si>
    <t>reverse micelle synthesis</t>
  </si>
  <si>
    <t>Active/PVDF/SP C black/Graphite 60:10:15:15</t>
  </si>
  <si>
    <t>Active/CB/graphite/PVDF 75:10:10:5</t>
  </si>
  <si>
    <t>MnCO3</t>
  </si>
  <si>
    <t>R-3c</t>
  </si>
  <si>
    <t>MnCO3 heat treated at 400C under Ar gas</t>
  </si>
  <si>
    <t>thermal decomposition</t>
  </si>
  <si>
    <t>mechanical milling</t>
  </si>
  <si>
    <t>Active/CB/PVDF 82.5:7.5:10</t>
  </si>
  <si>
    <t>milled with sugar</t>
  </si>
  <si>
    <t>Zhong2010JPS</t>
  </si>
  <si>
    <t>http://dx.doi.org/10.1016/j.jpowsour.2009.11.133</t>
  </si>
  <si>
    <t>nanocubes</t>
  </si>
  <si>
    <r>
      <rPr>
        <sz val="12"/>
        <color indexed="8"/>
        <rFont val="Calibri"/>
        <family val="2"/>
      </rPr>
      <t>γ-</t>
    </r>
    <r>
      <rPr>
        <sz val="12"/>
        <color theme="1"/>
        <rFont val="Calibri"/>
        <family val="2"/>
        <scheme val="minor"/>
      </rPr>
      <t>MnO2</t>
    </r>
  </si>
  <si>
    <t>Fe2O3</t>
  </si>
  <si>
    <t>Jiao2007ESSI</t>
  </si>
  <si>
    <t>http://dx.doi.org/10.1149/1.2783268</t>
  </si>
  <si>
    <t>Active/Super S/Kynar 2801 80:10:10</t>
  </si>
  <si>
    <t>Active/Super S/Kynar 2801 60:30:10</t>
  </si>
  <si>
    <t>forced hydrolysis</t>
  </si>
  <si>
    <t>R-3cH</t>
  </si>
  <si>
    <t>Poizot2000N</t>
  </si>
  <si>
    <t>http://dx.doi.org/10.1038/35035045</t>
  </si>
  <si>
    <t>Active/Carbon SP 90:10</t>
  </si>
  <si>
    <t>WhatmanGF/D borosilicate glass fibre sheet</t>
  </si>
  <si>
    <t>Co3O4</t>
  </si>
  <si>
    <t>CoO</t>
  </si>
  <si>
    <t>FeO</t>
  </si>
  <si>
    <t>Cu2O</t>
  </si>
  <si>
    <t>polyol process</t>
  </si>
  <si>
    <t>Do2005JPS</t>
  </si>
  <si>
    <t>http://dx.doi.org/10.1016/j.jpowsour.2005.03.095</t>
  </si>
  <si>
    <t>precipitation</t>
  </si>
  <si>
    <t>calcinated at 200C, N2</t>
  </si>
  <si>
    <t>calcinated at 300C, N2</t>
  </si>
  <si>
    <t>calcinated at 400C, N2</t>
  </si>
  <si>
    <t>calcinated at 500C, N2</t>
  </si>
  <si>
    <t>calcinated at 600C, N2</t>
  </si>
  <si>
    <t>calcinated at 700C, N2</t>
  </si>
  <si>
    <t>calcinated at 800C, N2</t>
  </si>
  <si>
    <t>calcinated at 900C,N2</t>
  </si>
  <si>
    <t>C50=C38</t>
  </si>
  <si>
    <t>C50=C40</t>
  </si>
  <si>
    <t>Active/CB/PVDF&amp;NMP 70:20:10</t>
  </si>
  <si>
    <t>Active/CB/PVDF 80:10:10</t>
  </si>
  <si>
    <t>Lou2008JMC</t>
  </si>
  <si>
    <t>http://dx.doi.org/10.1039/B810093D</t>
  </si>
  <si>
    <t>Fd3m</t>
  </si>
  <si>
    <t>a=8.084</t>
  </si>
  <si>
    <t>annealed at 200C</t>
  </si>
  <si>
    <t>annealed at 300C</t>
  </si>
  <si>
    <t>annealed at 400C</t>
  </si>
  <si>
    <t>surface area (m^2/g)</t>
  </si>
  <si>
    <t>C50=C34</t>
  </si>
  <si>
    <t>Needham2006ESSL</t>
  </si>
  <si>
    <t>http://dx.doi.org/10.1149/1.2197108</t>
  </si>
  <si>
    <t>Co3O4-C</t>
  </si>
  <si>
    <t>spray pyrolysis</t>
  </si>
  <si>
    <t>R2032 coin cell</t>
  </si>
  <si>
    <t>Active/CB/PVDF 80:8:12</t>
  </si>
  <si>
    <t>Active/PVDF&amp;NMP 88:12</t>
  </si>
  <si>
    <t>mix of fully and partially developed hollow spheres</t>
  </si>
  <si>
    <t>NiO-Ni</t>
  </si>
  <si>
    <t>Active/AB/PVDF&amp;NMP 70:15:15</t>
  </si>
  <si>
    <t>Huang2006JPS</t>
  </si>
  <si>
    <t>http://dx.doi.org/10.1016/j.jpowsour.2006.03.039</t>
  </si>
  <si>
    <t>Celgard2300</t>
  </si>
  <si>
    <t>0.1+0.01</t>
  </si>
  <si>
    <t>CuO</t>
  </si>
  <si>
    <t>a=4.258</t>
  </si>
  <si>
    <t>a=4.269</t>
  </si>
  <si>
    <t>a=4.679, b=3.425, c=5.118</t>
  </si>
  <si>
    <t>a=4.67, b=3.42, c=5.10</t>
  </si>
  <si>
    <t>Super P/Active/ PVDF-HFP/DBP 8:55:15:22</t>
  </si>
  <si>
    <t>Grugeon2001JES</t>
  </si>
  <si>
    <t>http://dx.doi.org/10.1149/1.1353566</t>
  </si>
  <si>
    <t>Active/AB/PTFE 85:10:5</t>
  </si>
  <si>
    <t>1M LiPF6 EC/PC/DMC 6:3:1 v/v/v</t>
  </si>
  <si>
    <t>Gao2004JPC</t>
  </si>
  <si>
    <t>http://dx.doi.org/10.1021/jp037075k</t>
  </si>
  <si>
    <t>Lee2008AM</t>
  </si>
  <si>
    <t>http://dx.doi.org/10.1002/adma.200800999</t>
  </si>
  <si>
    <t>MoO3</t>
  </si>
  <si>
    <t>nanoparticles</t>
  </si>
  <si>
    <t>hot-wire chemical vapor deposition</t>
  </si>
  <si>
    <t>1M LiClO4 PPC</t>
  </si>
  <si>
    <t>MoO2</t>
  </si>
  <si>
    <t>nanocasting synthesis</t>
  </si>
  <si>
    <t>mesoporous</t>
  </si>
  <si>
    <t>Shi2009NL</t>
  </si>
  <si>
    <t>http://dx.doi.org/10.1021/nl902423a</t>
  </si>
  <si>
    <t>low temp solvothermal process</t>
  </si>
  <si>
    <t>ZnMn2O4</t>
  </si>
  <si>
    <t>Xiao2009JPS</t>
  </si>
  <si>
    <t>http://dx.doi.org/10.1016/j.jpowsour.2009.06.043</t>
  </si>
  <si>
    <t>Active/AB/PTFE 80:12:8</t>
  </si>
  <si>
    <t>1M LiPF6 EC/DMC/EMC 1:1:1 v/v/v</t>
  </si>
  <si>
    <t>polypropylene microporous membrane</t>
  </si>
  <si>
    <t>I41/amd</t>
  </si>
  <si>
    <t>a=5.7225, c=9.2513</t>
  </si>
  <si>
    <t>conversion/alloy</t>
  </si>
  <si>
    <t>flower-like superstructure</t>
  </si>
  <si>
    <t>ZnO</t>
  </si>
  <si>
    <t>dandelion-like morphology</t>
  </si>
  <si>
    <t>Wang2009EA</t>
  </si>
  <si>
    <t>P64mc</t>
  </si>
  <si>
    <t>http://dx.doi.org/10.1016/j.electacta.2008.11.019</t>
  </si>
  <si>
    <t>http://dx.doi.org/10.1039/C0JM04465B</t>
  </si>
  <si>
    <t>Courtel2011JMC</t>
  </si>
  <si>
    <t>CoMn2O4</t>
  </si>
  <si>
    <t>NiMn2O4</t>
  </si>
  <si>
    <t>Celgard 3501</t>
  </si>
  <si>
    <t>2325 coin cell</t>
  </si>
  <si>
    <t>calculated potential (V)</t>
  </si>
  <si>
    <t>Fd-3m</t>
  </si>
  <si>
    <t>a=5.7243, c=9.2888</t>
  </si>
  <si>
    <t>a=8.3689</t>
  </si>
  <si>
    <t>sintered at 800 C</t>
  </si>
  <si>
    <t>Active/graphite E-KS4/Super S/NaCMC 80:5:5:10</t>
  </si>
  <si>
    <t>C25=C21</t>
  </si>
  <si>
    <t>a=5.7174, c=9.2509</t>
  </si>
  <si>
    <t>CoFe2O4</t>
  </si>
  <si>
    <t>NiFe2O4</t>
  </si>
  <si>
    <t>Lavela2007JPS</t>
  </si>
  <si>
    <t>http://dx.doi.org/10.1016/j.jpowsour.2007.07.055</t>
  </si>
  <si>
    <t>hydrothermal method</t>
  </si>
  <si>
    <t>IL-assisted hydrothermal method</t>
  </si>
  <si>
    <t>Whatman glass fiber</t>
  </si>
  <si>
    <t>delithiation potential 1st cycle (V)</t>
  </si>
  <si>
    <t>CC</t>
  </si>
  <si>
    <t>annealed at 800 C for 24 hrs</t>
  </si>
  <si>
    <t>annealed at 1000 C for 24 hrs</t>
  </si>
  <si>
    <t>Fd-3mS</t>
  </si>
  <si>
    <t>CuFe2O4</t>
  </si>
  <si>
    <t>annealed at 800 C</t>
  </si>
  <si>
    <t>Bomio2007JSSE</t>
  </si>
  <si>
    <t>http://dx.doi.org/10.1007/s10008-007-0420-3</t>
  </si>
  <si>
    <t>GF/A Whataman</t>
  </si>
  <si>
    <t>Active/CB/graphite/PVDF&amp;NMP 75:10:10:5</t>
  </si>
  <si>
    <t>ZnFe2O4</t>
  </si>
  <si>
    <t>urea-combustion method</t>
  </si>
  <si>
    <t>Sharma2008EA</t>
  </si>
  <si>
    <t>http://dx.doi.org/10.1016/j.electacta.2007.09.059</t>
  </si>
  <si>
    <t>Active/Kynar 2801/Super P 70:15:15</t>
  </si>
  <si>
    <t>Celgard 2502</t>
  </si>
  <si>
    <t>a=8.416</t>
  </si>
  <si>
    <t>FeCo2O4</t>
  </si>
  <si>
    <t>MgCo2O4</t>
  </si>
  <si>
    <t>oxalate decomposition reaction</t>
  </si>
  <si>
    <t>Active/Super P/Kynar 2801 70:15:15</t>
  </si>
  <si>
    <t>a=8.104</t>
  </si>
  <si>
    <t>a=8.260</t>
  </si>
  <si>
    <t>charging potential plateau (V)</t>
  </si>
  <si>
    <t>Sharma2008SSI</t>
  </si>
  <si>
    <t>http://dx.doi.org/10.1016/j.ssi.2008.04.007</t>
  </si>
  <si>
    <t>ZnCo2O4</t>
  </si>
  <si>
    <t>a=8.120</t>
  </si>
  <si>
    <t>Sharma2006AFM</t>
  </si>
  <si>
    <t>http://dx.doi.org/10.1002/adfm.200600997</t>
  </si>
  <si>
    <t>C rate capability</t>
  </si>
  <si>
    <t>NiCo2O4-C</t>
  </si>
  <si>
    <t>Active/CCB/PVDF&amp;NMP 70:15:15</t>
  </si>
  <si>
    <t>Celgard 2700</t>
  </si>
  <si>
    <t>1M LiPF6 EC/DEC 1:1 V/v</t>
  </si>
  <si>
    <t>NuLi2008ESSL</t>
  </si>
  <si>
    <t>http://dx.doi.org/10.1149/1.2861226</t>
  </si>
  <si>
    <t>CuCo2O4</t>
  </si>
  <si>
    <t>Sharma2007JPS</t>
  </si>
  <si>
    <t>http://dx.doi.org/10.1016/j.jpowsour.2007.06.022</t>
  </si>
  <si>
    <t>a=8.129</t>
  </si>
  <si>
    <t>soft chemical process</t>
  </si>
  <si>
    <t>1M LiClO4 EC/DMC/DEC 2:2:1 v/v/v</t>
  </si>
  <si>
    <t>&lt;40</t>
  </si>
  <si>
    <t>2.0,2.3</t>
  </si>
  <si>
    <t>CoS0.92 0.9H2O</t>
  </si>
  <si>
    <t>microspheres</t>
  </si>
  <si>
    <t>exists 0.06, 0.13, 0.26, 0.5, 1.06, 2.12</t>
  </si>
  <si>
    <t>exists 0.01, 1</t>
  </si>
  <si>
    <t>exists 0.01, 0.2, 0.5, 1, 2, 3</t>
  </si>
  <si>
    <t>exists 0.1, 0.2, 0.5, 1, 2</t>
  </si>
  <si>
    <t>nanorods, prepared at RT, several hundred nanometers long</t>
  </si>
  <si>
    <t>nanorods, prepared at 100 C, lengths up to 1um</t>
  </si>
  <si>
    <t>Active/PEO-LiClO4</t>
  </si>
  <si>
    <t>Ia3d</t>
  </si>
  <si>
    <t>conversion/?</t>
  </si>
  <si>
    <t>conversions/?</t>
  </si>
  <si>
    <t>exists 0.1, 0.2, 0.5, 1, 2,5</t>
  </si>
  <si>
    <t>exists 1, 2, 3, 5</t>
  </si>
  <si>
    <t>exists 0.2, 1, 5</t>
  </si>
  <si>
    <t>delithiation potential &gt;1st cycle (V)</t>
  </si>
  <si>
    <t>1.53 (http://mpuhost04.ait.ac.th/gmsarn/gmsarn2007/paperlist/015%20-%20ME05%20-%20Feng%20-%20Thermodynamic%20of.pdf)</t>
  </si>
  <si>
    <t>1.455 (http://dx.doi.org/10.1016/j.jssc.2009.05.032)</t>
  </si>
  <si>
    <t>Cu2S</t>
  </si>
  <si>
    <t>NiS2</t>
  </si>
  <si>
    <t>Liu2012PT</t>
  </si>
  <si>
    <t>http://dx.doi.org/10.1016/j.powtec.2012.05.035</t>
  </si>
  <si>
    <t>Active/PEO/Super P 60:20:20</t>
  </si>
  <si>
    <t>1M LiCF3SO3 TEGDME</t>
  </si>
  <si>
    <t>wet milled</t>
  </si>
  <si>
    <t>planetary ball milling</t>
  </si>
  <si>
    <t>Ni0.9Fe0.1S2</t>
  </si>
  <si>
    <t>intercalation?</t>
  </si>
  <si>
    <t>C25=C12</t>
  </si>
  <si>
    <t>http://dx.doi.org/10.1149/1.2163808</t>
  </si>
  <si>
    <t>Ni3S2</t>
  </si>
  <si>
    <t>P(EO)20Li(CF3SO2)2N/γ-LiAlO2 1:9 w/w</t>
  </si>
  <si>
    <t>Active/PEO/AB/PVDF 40:40:10:10</t>
  </si>
  <si>
    <t>0.1-3</t>
  </si>
  <si>
    <t>exists 0.05, 0.1, 0.2, 0.33, 0.5, 1</t>
  </si>
  <si>
    <t>Zhu2006JES</t>
  </si>
  <si>
    <t>0.9, 0.35</t>
  </si>
  <si>
    <t>1.9, 1.2</t>
  </si>
  <si>
    <t>1.8, 2.3</t>
  </si>
  <si>
    <t>0.8, 0.25</t>
  </si>
  <si>
    <t>1.8, 1</t>
  </si>
  <si>
    <t>0.4, 1</t>
  </si>
  <si>
    <t>1.2, 2</t>
  </si>
  <si>
    <t>1.7, 2.3</t>
  </si>
  <si>
    <t>0.9, 0.3</t>
  </si>
  <si>
    <t>Specific energy after 50 cycles (Wh/kg)</t>
  </si>
  <si>
    <t>GITT</t>
  </si>
  <si>
    <t>GITT?</t>
  </si>
  <si>
    <t>exists 0.1, 0.5, 1</t>
  </si>
  <si>
    <t>exists 0.6, 0.23, 0.45, 0.57, 1.15</t>
  </si>
  <si>
    <t>exists 0.1, 0.5, 1, 2</t>
  </si>
  <si>
    <t>exists 0.1, 0.2, 0.5</t>
  </si>
  <si>
    <t>exists 0.1, 0.2, 0.5, 1, 2, 3</t>
  </si>
  <si>
    <t>exists 0.03, 0.1, 0.3, 0.4, 0.5, 0.7</t>
  </si>
  <si>
    <t>exists 0.04, 0.125, 0.34, 0.4, 0.56, 0.65, 0.75, 0.94</t>
  </si>
  <si>
    <t xml:space="preserve"> </t>
  </si>
  <si>
    <t>LiuGuo2005JPS</t>
  </si>
  <si>
    <t>http://dx.doi.org/10.1016/j.jpowsour.2004.07.032</t>
  </si>
  <si>
    <t>Si</t>
  </si>
  <si>
    <t>ball milled</t>
  </si>
  <si>
    <t>Active/KS6/Super P 85:12.5:2.5</t>
  </si>
  <si>
    <t>Active/KS6/Super P 70:25:5</t>
  </si>
  <si>
    <t>1M LiPF6 EC/EMC 1:2 v/v</t>
  </si>
  <si>
    <t>0.35, 0.6</t>
  </si>
  <si>
    <t>exists 0.14, 0.19</t>
  </si>
  <si>
    <t>uses charge depth?</t>
  </si>
  <si>
    <t>Mg2Si</t>
  </si>
  <si>
    <t>Roberts2002JPS</t>
  </si>
  <si>
    <t>http://dx.doi.org/10.1016/S0378-7753(02)00207-0</t>
  </si>
  <si>
    <t>Active/AB/PVDF&amp;NMP 75:15:10</t>
  </si>
  <si>
    <t>1M LiPF6 EC/DMC 1:2 v/v</t>
  </si>
  <si>
    <t>exists 15,25, 50, 75 mA/g</t>
  </si>
  <si>
    <t>Wolfenstein2003JPS</t>
  </si>
  <si>
    <t>http://dx.doi.org/10.1016/S0378-7753(03)00731-6</t>
  </si>
  <si>
    <t>CaSi2</t>
  </si>
  <si>
    <t>Celgard 2401</t>
  </si>
  <si>
    <t>NiSi</t>
  </si>
  <si>
    <t>Wang2000JPS</t>
  </si>
  <si>
    <t>http://dx.doi.org/10.1016/S0378-7753(00)00385-2</t>
  </si>
  <si>
    <t>Wilson1995JES</t>
  </si>
  <si>
    <t>chemical-vapor deposition</t>
  </si>
  <si>
    <t>1M LiN(CF3SO2)2 PPC/EC 1:1 v/v</t>
  </si>
  <si>
    <t>Active/Super S/ PVDF 85:5:10</t>
  </si>
  <si>
    <t>Park2005EA</t>
  </si>
  <si>
    <t>http://dx.doi.org/10.1016/j.electacta.2005.04.042</t>
  </si>
  <si>
    <t>SiC</t>
  </si>
  <si>
    <t>exists 0.1, 0.2, 0.5, 0.7, 1</t>
  </si>
  <si>
    <t>(NiSi,NiSi2)C</t>
  </si>
  <si>
    <t>0.38, 0.56</t>
  </si>
  <si>
    <t>arc-melting to make NiSix, 50:50 by weight</t>
  </si>
  <si>
    <t>SiO/C</t>
  </si>
  <si>
    <t>http://dx.doi.org/10.1016/j.jpowsour.2007.12.074</t>
  </si>
  <si>
    <t>Doh2008JPS</t>
  </si>
  <si>
    <t>Active/PVDF&amp;NMP 85:15</t>
  </si>
  <si>
    <t>1M LiPF6 EC/EMC 1:1 v/v plus 2 wt.% VC</t>
  </si>
  <si>
    <t>0.253 mA/cm^2</t>
  </si>
  <si>
    <t>C50=C30</t>
  </si>
  <si>
    <t>0.05?</t>
  </si>
  <si>
    <t>Yang2002SSI</t>
  </si>
  <si>
    <t>http://dx.doi.org/10.1016/S0167-2738(02)00362-4</t>
  </si>
  <si>
    <t>SiO0.8</t>
  </si>
  <si>
    <t>SiO</t>
  </si>
  <si>
    <t>SiO1.1</t>
  </si>
  <si>
    <t>Active/AB/PVDF&amp;NMP 68:20:12</t>
  </si>
  <si>
    <t>Active/AB/PVDF&amp;NMP 60:25:15</t>
  </si>
  <si>
    <t>Celgard</t>
  </si>
  <si>
    <t>0.1, 0.25</t>
  </si>
  <si>
    <t>0.25, 0.1</t>
  </si>
  <si>
    <t>commercial product (Denki Kagaku Kogyo, Japan)</t>
  </si>
  <si>
    <t>1M LiClO4 EC/DEC 1:1 v/v</t>
  </si>
  <si>
    <t>0.1137 mA/cm^2</t>
  </si>
  <si>
    <t>0.08, 0.12</t>
  </si>
  <si>
    <t>0.2, 0.125, 0.08</t>
  </si>
  <si>
    <t>0.18, 0.27, 0.6</t>
  </si>
  <si>
    <t>commercial product (Alpha)</t>
  </si>
  <si>
    <t>Active/C/PVDF&amp;NMP 85:5:10</t>
  </si>
  <si>
    <t>25-30</t>
  </si>
  <si>
    <t>1-3</t>
  </si>
  <si>
    <t>5-20</t>
  </si>
  <si>
    <t>.02 mA/cm^2</t>
  </si>
  <si>
    <t>alloy</t>
  </si>
  <si>
    <t>high-energy ball milling</t>
  </si>
  <si>
    <t>Active/CB/PVDF&amp;DMP 80:18:2</t>
  </si>
  <si>
    <t>0.08 mA/cm^2</t>
  </si>
  <si>
    <t>FeSi/Si</t>
  </si>
  <si>
    <t>Si/TiN</t>
  </si>
  <si>
    <t>Kim2000ESSL</t>
  </si>
  <si>
    <t>Active/AB/PVDF&amp;NMP 87.1:7.3:5.6</t>
  </si>
  <si>
    <t>1M LiPF6 EC/DMC 2:1 v/v</t>
  </si>
  <si>
    <t>Si:TiN 1:2 molar ratio</t>
  </si>
  <si>
    <t>0.08, 0.7</t>
  </si>
  <si>
    <t>0.1-0.5</t>
  </si>
  <si>
    <t>Hwang2001ESSL</t>
  </si>
  <si>
    <t>http://dx.doi.org/10.1149/1.1375176</t>
  </si>
  <si>
    <t>Active/CB/PVDF&amp;NMP 75:15:10</t>
  </si>
  <si>
    <t>SiAg</t>
  </si>
  <si>
    <t>Fe impurity, milled for 50 hrs</t>
  </si>
  <si>
    <t>2?</t>
  </si>
  <si>
    <t>http://dx.doi.org/10.1149/1.1764411</t>
  </si>
  <si>
    <t>MCMB</t>
  </si>
  <si>
    <t>mesocarbon microbeads</t>
  </si>
  <si>
    <t>nanocrystalline</t>
  </si>
  <si>
    <t>commercial product (Nanostructured &amp; Amorphous Materials Inc.)</t>
  </si>
  <si>
    <t>commercial product (Osaka Gas Co.)</t>
  </si>
  <si>
    <t>Si-MCMB</t>
  </si>
  <si>
    <t>ball mlled</t>
  </si>
  <si>
    <t>Active/CB/PVDF&amp;DMP 84:8:8</t>
  </si>
  <si>
    <t>0.05 mA/cm^2</t>
  </si>
  <si>
    <t>20:80 wt.%, ball milled for 10 hrs</t>
  </si>
  <si>
    <t>0.34, 0.5</t>
  </si>
  <si>
    <t>thermal vapor decomposition</t>
  </si>
  <si>
    <t>Yoshio2002JES</t>
  </si>
  <si>
    <t>C coated Si</t>
  </si>
  <si>
    <t>Active/PVDF&amp;NMP 90:10</t>
  </si>
  <si>
    <t>1M LiPF6-PC EC/DMC 1:2 v/v</t>
  </si>
  <si>
    <t>0.5 mA/cm^2</t>
  </si>
  <si>
    <t>0.17,  0.33, 0.5</t>
  </si>
  <si>
    <t>Wang2004EC</t>
  </si>
  <si>
    <t>http://dx.doi.org/10.1016/j.elecom.2004.05.010</t>
  </si>
  <si>
    <t>carbon gel-assisted synthesis</t>
  </si>
  <si>
    <t>Active/PVDF&amp;NMP 92:8</t>
  </si>
  <si>
    <t>Si-C composite</t>
  </si>
  <si>
    <t>0.02-0.08</t>
  </si>
  <si>
    <t>0.38, 0.5</t>
  </si>
  <si>
    <t>0.37, 0.5</t>
  </si>
  <si>
    <t>Lee2004EC</t>
  </si>
  <si>
    <t>http://dx.doi.org/10.1016/j.elecom.2004.03.005</t>
  </si>
  <si>
    <t>Si/Al2O3/C composite</t>
  </si>
  <si>
    <t>Active/CB/PVDF&amp;NMP 85:5:10</t>
  </si>
  <si>
    <t>(SiO:Al:Li2O2):C (1:1:0.2):1 (in parentheses by molar ratio, otherwise by wt.)</t>
  </si>
  <si>
    <t>high-enevery mechanical milling, heat treatment, milled again</t>
  </si>
  <si>
    <t>Kim2005EC</t>
  </si>
  <si>
    <t>http://dx.doi.org/10.1016/j.elecom.2005.03.013</t>
  </si>
  <si>
    <t>Si-Cu3Si-Cu composite</t>
  </si>
  <si>
    <t>Active/CB/PVDF&amp;NMP 70:15:15</t>
  </si>
  <si>
    <t>chemical precipitation and pyrolysis</t>
  </si>
  <si>
    <t>0.1, 0.2</t>
  </si>
  <si>
    <t>Tamura2002JPS</t>
  </si>
  <si>
    <t>http://dx.doi.org/10.1016/S0378-7753(01)00979-X</t>
  </si>
  <si>
    <t>Sn</t>
  </si>
  <si>
    <t>electrodeposition</t>
  </si>
  <si>
    <t>0.25 mA/cm^2, 0.13 mA/cm^2, 0.05 mA/cm^2</t>
  </si>
  <si>
    <t>annealed</t>
  </si>
  <si>
    <t>C25=C10</t>
  </si>
  <si>
    <t>decreasing current density</t>
  </si>
  <si>
    <t>Courtney1997JES</t>
  </si>
  <si>
    <t>http://dx.doi.org/10.1149/1.1837941</t>
  </si>
  <si>
    <t>SnO2</t>
  </si>
  <si>
    <t>Sn2BPO6</t>
  </si>
  <si>
    <t>commercial product (Aesar Corp)</t>
  </si>
  <si>
    <t>Active/Super S/PVDF 85:10:5</t>
  </si>
  <si>
    <t>1M LiPF6 EC/DEC 30:70 v/v</t>
  </si>
  <si>
    <t>2320 coin cell</t>
  </si>
  <si>
    <t>0.35, 0.7, 1</t>
  </si>
  <si>
    <t>0.6, 0.4, 0.34</t>
  </si>
  <si>
    <t>37.5, 0.136 mA/cm^2</t>
  </si>
  <si>
    <t>37.5, 0.62 mA/cm^2</t>
  </si>
  <si>
    <t>Morales1999JES</t>
  </si>
  <si>
    <t>http://dx.doi.org/10.1149/1.1391819</t>
  </si>
  <si>
    <t>hydrothermal synthesis</t>
  </si>
  <si>
    <t>preciptation</t>
  </si>
  <si>
    <t>Active/PTFE/graphite/AB 80:5:7.5:7.5</t>
  </si>
  <si>
    <t>0.25mA/cm^2</t>
  </si>
  <si>
    <t>Sweep Rate (mV/s)</t>
  </si>
  <si>
    <t>P42/nmn</t>
  </si>
  <si>
    <t>a=4.73, c=3.171</t>
  </si>
  <si>
    <t>a=4.73, c=3.15</t>
  </si>
  <si>
    <t>a=4.73, c=3.119</t>
  </si>
  <si>
    <t>SnO2/Mo(2%)</t>
  </si>
  <si>
    <t>SnO2/Mo(30%)</t>
  </si>
  <si>
    <t>0.2, 0.06</t>
  </si>
  <si>
    <t>Kepler1999ESSL</t>
  </si>
  <si>
    <t>http://dx.doi.org/10.1149/1.1390819</t>
  </si>
  <si>
    <t>Cu6Sn5</t>
  </si>
  <si>
    <t>1225 coin cell</t>
  </si>
  <si>
    <t>Active/Kynar 2801/XC-72&amp;THF 81:10:9</t>
  </si>
  <si>
    <t>0.32 mA/cm^2</t>
  </si>
  <si>
    <t>&lt;37</t>
  </si>
  <si>
    <t>0.55, 0.8</t>
  </si>
  <si>
    <t>intermetalic insertion</t>
  </si>
  <si>
    <t>1M LiPF6 EC/DEC 3:7 v/v</t>
  </si>
  <si>
    <t>Beaulieu2000JES</t>
  </si>
  <si>
    <t>http://dx.doi.org/10.1149/1.1393889</t>
  </si>
  <si>
    <t>Sn2Mn</t>
  </si>
  <si>
    <t>SnMn1.77</t>
  </si>
  <si>
    <t>SnMn3C</t>
  </si>
  <si>
    <t>SnMn3</t>
  </si>
  <si>
    <t>induction melting</t>
  </si>
  <si>
    <t>I4/mcm</t>
  </si>
  <si>
    <t>a=6.659, c=5.450</t>
  </si>
  <si>
    <t>a=4.403, c=5.479</t>
  </si>
  <si>
    <t>Pm-3m</t>
  </si>
  <si>
    <t>a=3.983</t>
  </si>
  <si>
    <t>0.6, 0.75</t>
  </si>
  <si>
    <t>0.75, 0.35</t>
  </si>
  <si>
    <t>Zhang2006JES</t>
  </si>
  <si>
    <t>http://dx.doi.org/10.1149/1.2204871</t>
  </si>
  <si>
    <t>Co3Sn2</t>
  </si>
  <si>
    <t>CoSn</t>
  </si>
  <si>
    <t>CoSn2</t>
  </si>
  <si>
    <t>0.25 mA/cm^2, 50</t>
  </si>
  <si>
    <t>Active/CB/PVDF&amp;NMP 80:10:10</t>
  </si>
  <si>
    <t>Pnma</t>
  </si>
  <si>
    <t>P6/mmm</t>
  </si>
  <si>
    <t>a=7.081, b=5.206, c=8.182</t>
  </si>
  <si>
    <t>a=5.271, c=4.257</t>
  </si>
  <si>
    <t>a=6.352, c=5.446</t>
  </si>
  <si>
    <t>high-energy ball milling and heat treatment</t>
  </si>
  <si>
    <t>600 C</t>
  </si>
  <si>
    <t>500 C</t>
  </si>
  <si>
    <t>400 C</t>
  </si>
  <si>
    <t>0.5, 0.6</t>
  </si>
  <si>
    <t>Mg2Sn</t>
  </si>
  <si>
    <t>Kim2001SSI</t>
  </si>
  <si>
    <t>http://dx.doi.org/10.1016/S0167-2738(01)00900-6</t>
  </si>
  <si>
    <t>intercalation/alloy</t>
  </si>
  <si>
    <t>beaker type test cell</t>
  </si>
  <si>
    <t>mixture of cubic and orthrombic phases</t>
  </si>
  <si>
    <t>0.059 mA/cm^2, 30</t>
  </si>
  <si>
    <t>intercalation (only for the first dozen)/alloy</t>
  </si>
  <si>
    <t>0.17, 0.12, 0.06</t>
  </si>
  <si>
    <t>704 (cubic)</t>
  </si>
  <si>
    <t>0.45 (from http://dx.doi.org/10.1007/s10751-006-9366-6)</t>
  </si>
  <si>
    <t>Sn2FeC1.2</t>
  </si>
  <si>
    <t>Sn2FeC0.7</t>
  </si>
  <si>
    <t>Sn2FeC0.3</t>
  </si>
  <si>
    <t>Sn2Fe</t>
  </si>
  <si>
    <t>http://dx.doi.org/10.1149/1.1391622</t>
  </si>
  <si>
    <t>37.2 mA/g</t>
  </si>
  <si>
    <t>mechanically milled after formed</t>
  </si>
  <si>
    <t>a=6.529, c=5.329</t>
  </si>
  <si>
    <t>a=6.528, c= 5.332</t>
  </si>
  <si>
    <t>a=6.529, c=5.332</t>
  </si>
  <si>
    <t>a=6.529, c=5.333</t>
  </si>
  <si>
    <t>C50=C45</t>
  </si>
  <si>
    <t>0.42, 0.56</t>
  </si>
  <si>
    <t>0.43, 0.56, 0.74</t>
  </si>
  <si>
    <t>0.42, 0.56, 0.73</t>
  </si>
  <si>
    <t>0.44, 0.56</t>
  </si>
  <si>
    <t>Mao1999JES1</t>
  </si>
  <si>
    <t>Mao1999JES2</t>
  </si>
  <si>
    <t>http://dx.doi.org/10.1149/1.1391623</t>
  </si>
  <si>
    <t>high temperature melting</t>
  </si>
  <si>
    <t>Sn3Fe5</t>
  </si>
  <si>
    <t>Sn2Fe3</t>
  </si>
  <si>
    <t>SnFe</t>
  </si>
  <si>
    <t>R-3m</t>
  </si>
  <si>
    <t>a=7.318, b=8.435, c=5.244</t>
  </si>
  <si>
    <t>a=6.528, c=5.332</t>
  </si>
  <si>
    <t>a=5.295, c=4.4433</t>
  </si>
  <si>
    <t>annealed at 880 C for 70 h, Sn impurity</t>
  </si>
  <si>
    <t>annealed at 730 C for 130 h, Sn2Fe impurity</t>
  </si>
  <si>
    <t>annealed at 730 C for 110 h, SnFe impurity</t>
  </si>
  <si>
    <t>reductive precipitation</t>
  </si>
  <si>
    <t>Wachtler2002JPS</t>
  </si>
  <si>
    <t>http://dx.doi.org/10.1016/S0378-7753(01)00934-X</t>
  </si>
  <si>
    <t>Active/Ni/PVDF 82:10:8</t>
  </si>
  <si>
    <t>10-50</t>
  </si>
  <si>
    <t>glass cell</t>
  </si>
  <si>
    <t>Sn/SnSb</t>
  </si>
  <si>
    <t>SnSb</t>
  </si>
  <si>
    <t>Sb/SnSb</t>
  </si>
  <si>
    <t>0.46, 0.3</t>
  </si>
  <si>
    <t>0.3, 0.6</t>
  </si>
  <si>
    <t>0.5, 0.65</t>
  </si>
  <si>
    <t>0.7, 0.36</t>
  </si>
  <si>
    <t>0.75, 0.36</t>
  </si>
  <si>
    <t>0.65, 1.1</t>
  </si>
  <si>
    <t>Sn/SnAg3-4</t>
  </si>
  <si>
    <t>Sb/SbAg3-4</t>
  </si>
  <si>
    <t>Ag/SnSb/SnAg3-4/SbAg3-4</t>
  </si>
  <si>
    <t>0.27, 0.5, 0.6</t>
  </si>
  <si>
    <t>0.28, 1</t>
  </si>
  <si>
    <t>Mukaibo2003ESSL</t>
  </si>
  <si>
    <t>http://dx.doi.org/10.1149/1.1602331</t>
  </si>
  <si>
    <t>Ni46Sn54</t>
  </si>
  <si>
    <t>Ni38Sn62</t>
  </si>
  <si>
    <t>Ni16Sn84</t>
  </si>
  <si>
    <t>Ni8Sn92</t>
  </si>
  <si>
    <t>1M LiClO4 EC/PC 1:1 v/v</t>
  </si>
  <si>
    <t>C25=C26</t>
  </si>
  <si>
    <t>C25=C24, C50=C48</t>
  </si>
  <si>
    <t>C25=C27, C50=C51</t>
  </si>
  <si>
    <t>0.46, 0.6, 0.68, 0.76</t>
  </si>
  <si>
    <t>0.63, 0.71, 0.79</t>
  </si>
  <si>
    <t>0.38, 0.68</t>
  </si>
  <si>
    <t>0.46, 0.62, 0.7, 0.78</t>
  </si>
  <si>
    <t>Amorphous C coated Sn</t>
  </si>
  <si>
    <t>precipitation, hydrothermal synthesis</t>
  </si>
  <si>
    <t>!M LiPF6 EC/DEC/EMC 30:30:40 v/v/v</t>
  </si>
  <si>
    <t>Active/PVDF/Super P 60:20:20</t>
  </si>
  <si>
    <t>0.15, 0.24</t>
  </si>
  <si>
    <t>Noh2005CM</t>
  </si>
  <si>
    <t>http://dx.doi.org/10.1021/cm0481372</t>
  </si>
  <si>
    <t xml:space="preserve">Sn-C composite </t>
  </si>
  <si>
    <t>SnO2 impurities</t>
  </si>
  <si>
    <t>http://dx.doi.org/10.1002/adma.200702928</t>
  </si>
  <si>
    <t>Hassoun2008AM</t>
  </si>
  <si>
    <t>sol-gel synthesis</t>
  </si>
  <si>
    <t>Active/PVDF/SP carbon 80:10:10</t>
  </si>
  <si>
    <t>100 mA/cm^2g</t>
  </si>
  <si>
    <t>0.19, 0.37, 0.87</t>
  </si>
  <si>
    <t>0.64, 0.41</t>
  </si>
  <si>
    <t>0.58, 0.75</t>
  </si>
  <si>
    <t>alloy/intercalation(minor contribution)</t>
  </si>
  <si>
    <t>Yoon2008ESSL</t>
  </si>
  <si>
    <t>http://dx.doi.org/10.1149/1.2836481</t>
  </si>
  <si>
    <t>Ge</t>
  </si>
  <si>
    <t>Ge-MCMB</t>
  </si>
  <si>
    <t>Ge-PVA</t>
  </si>
  <si>
    <t>Ge and mesocarbon microbeads, mass ratio 2:1</t>
  </si>
  <si>
    <t>Ge and poly(vinyl alcohol), mass ratio 1:6</t>
  </si>
  <si>
    <t>0.29, 0.17</t>
  </si>
  <si>
    <t>0.40, 0.63</t>
  </si>
  <si>
    <t>0.4, 0.58</t>
  </si>
  <si>
    <t>0.29, 0.14</t>
  </si>
  <si>
    <t>0.40, 0.60</t>
  </si>
  <si>
    <t>Park2006AM</t>
  </si>
  <si>
    <t>http://dx.doi.org/10.1002/adma.200602592</t>
  </si>
  <si>
    <t>P</t>
  </si>
  <si>
    <t>P-C composite</t>
  </si>
  <si>
    <t>70:30 P:C by wt</t>
  </si>
  <si>
    <t>0.253 mA/cm^2, 100</t>
  </si>
  <si>
    <t>alloy?</t>
  </si>
  <si>
    <t>0.82, 0.24</t>
  </si>
  <si>
    <t>0.58, 0.73, 0.79, 1.25</t>
  </si>
  <si>
    <t>0.79, 1.25</t>
  </si>
  <si>
    <t>VP</t>
  </si>
  <si>
    <t>http://dx.doi.org/10.1021/cm902745a</t>
  </si>
  <si>
    <t>high-energy mechanical milling</t>
  </si>
  <si>
    <t>Active/Super P/PVDF&amp;NMP 70:15:15</t>
  </si>
  <si>
    <t>0.7, 0.27</t>
  </si>
  <si>
    <t>0.42, 0.91</t>
  </si>
  <si>
    <t>Kim2005JES</t>
  </si>
  <si>
    <t>http://dx.doi.org/10.1149/1.1938047</t>
  </si>
  <si>
    <t>VP4</t>
  </si>
  <si>
    <t>C12/c1</t>
  </si>
  <si>
    <t>C50=C39</t>
  </si>
  <si>
    <t>0.62, 0.75, 0.78</t>
  </si>
  <si>
    <t>0.75, 0.78</t>
  </si>
  <si>
    <t>Park2007JES</t>
  </si>
  <si>
    <t>http://dx.doi.org/10.1149/1.2761829</t>
  </si>
  <si>
    <t>Sb/C composite</t>
  </si>
  <si>
    <t>80:20 Sb:C by weight</t>
  </si>
  <si>
    <t>1 M LiPF6 EC/DEC 1:1 v/v</t>
  </si>
  <si>
    <t>exists 0.3, 1, 2</t>
  </si>
  <si>
    <t>0.83, 0.79</t>
  </si>
  <si>
    <t>InSb</t>
  </si>
  <si>
    <t>Hewitt2001JES</t>
  </si>
  <si>
    <t>http://dx.doi.org/10.1149/1.1359194</t>
  </si>
  <si>
    <t>F-43m</t>
  </si>
  <si>
    <t>a=6.466</t>
  </si>
  <si>
    <t>Active/Super S/PVDF&amp;NMP 85:7:8</t>
  </si>
  <si>
    <t>Active/denka black/PVDF&amp;NMP 8:1:1</t>
  </si>
  <si>
    <t>1M LiPF6 EC/DEC 33:67 v/v</t>
  </si>
  <si>
    <t>0.7, 0.56, 0.32, 0.07</t>
  </si>
  <si>
    <t>0.33, 0.57, 0.68, 0.89</t>
  </si>
  <si>
    <t>0.92, 0.77, 0.64</t>
  </si>
  <si>
    <t>0.065 mA/cm^2, 19.4</t>
  </si>
  <si>
    <t>Fransson2001EC</t>
  </si>
  <si>
    <t>http://dx.doi.org/10.1016/S1388-2481(01)00140-0</t>
  </si>
  <si>
    <t>Cu2Sb</t>
  </si>
  <si>
    <t>Active/AB/PVDF 84:8:8</t>
  </si>
  <si>
    <t>1M LiPF6 EC/DEC 2:1 v/v</t>
  </si>
  <si>
    <t>"coffee-bag" cell</t>
  </si>
  <si>
    <t>glass fiber membrane</t>
  </si>
  <si>
    <t>P4/nmm</t>
  </si>
  <si>
    <t>a=4.03, c=6.10</t>
  </si>
  <si>
    <t>calculate at home using program that integrates?</t>
  </si>
  <si>
    <t>http://dx.doi.org/10.1002/adma.200901427</t>
  </si>
  <si>
    <t>ZnSb</t>
  </si>
  <si>
    <t>1M LiPF EC/DEC 1:1 v/v</t>
  </si>
  <si>
    <t>exists 0.2, 0.5, 1, 2, 5, 10</t>
  </si>
  <si>
    <t>Park2010AM</t>
  </si>
  <si>
    <t>"quasi-intercalation"</t>
  </si>
  <si>
    <t>Pbca</t>
  </si>
  <si>
    <t>a=6.201, b=7.741, c=8.099</t>
  </si>
  <si>
    <t>MnSb</t>
  </si>
  <si>
    <t>Mn2Sb</t>
  </si>
  <si>
    <t>Fransson2003JES</t>
  </si>
  <si>
    <t>http://dx.doi.org/ 10.1149/1.1524610</t>
  </si>
  <si>
    <t>Active/AB/SFG-6/PVDF&amp;NMP 84:4:4:8</t>
  </si>
  <si>
    <t>a=4.12, c=5.74</t>
  </si>
  <si>
    <t>a=4.098, c=6.653</t>
  </si>
  <si>
    <t>0.11 mA/cm^2</t>
  </si>
  <si>
    <t>0.07, 0.56, 0.81</t>
  </si>
  <si>
    <t>0.58, 0.85</t>
  </si>
  <si>
    <t>0.81, 1.20</t>
  </si>
  <si>
    <t>0.07, 0.34, 0.56, 0.69</t>
  </si>
  <si>
    <t>0.11, 0.84, 1.08</t>
  </si>
  <si>
    <t>0.77, 0.58, 0.5, 0.19</t>
  </si>
  <si>
    <t>structure type</t>
  </si>
  <si>
    <t>NiAs-type</t>
  </si>
  <si>
    <t>CoSb3</t>
  </si>
  <si>
    <t>Alcantara1999JMC</t>
  </si>
  <si>
    <t>http://dx.doi.org/10.1039/A902060H</t>
  </si>
  <si>
    <t>skutterudite</t>
  </si>
  <si>
    <t>Active/PTFE/CB 82:12:6</t>
  </si>
  <si>
    <t>1M LiClO4 PC/EC 1:1 v/v</t>
  </si>
  <si>
    <t>Im-3</t>
  </si>
  <si>
    <t>Park2010JES</t>
  </si>
  <si>
    <t>http://dx.doi.org/10.1149/1.3254161</t>
  </si>
  <si>
    <t>TiSb2</t>
  </si>
  <si>
    <t>a=6.666, c=5.817</t>
  </si>
  <si>
    <t>VN</t>
  </si>
  <si>
    <t>CoN</t>
  </si>
  <si>
    <t>Das2009SSI</t>
  </si>
  <si>
    <t>http://dx.doi.org/10.1016/j.ssi.2009.05.007</t>
  </si>
  <si>
    <t>RF magnetron sputtering</t>
  </si>
  <si>
    <t>nanoflake</t>
  </si>
  <si>
    <t>Whataman glass fiber</t>
  </si>
  <si>
    <t>zinc-blende</t>
  </si>
  <si>
    <t>a=4.291</t>
  </si>
  <si>
    <t>&lt;=0.1</t>
  </si>
  <si>
    <t>C1 charge</t>
  </si>
  <si>
    <t>C2</t>
  </si>
  <si>
    <t>exists 0.33, 0.59, 6.6</t>
  </si>
  <si>
    <t>0.2, 0.58, 0.84, 1.68</t>
  </si>
  <si>
    <t>0.7, 1.05, 1.45, 2.1</t>
  </si>
  <si>
    <t>0.18, 0.75, 1.45, 2</t>
  </si>
  <si>
    <t>Cu3N</t>
  </si>
  <si>
    <t>Pereira2003JES</t>
  </si>
  <si>
    <t>http://dx.doi.org/10.1149/1.1599845</t>
  </si>
  <si>
    <t>solid state reaction?</t>
  </si>
  <si>
    <t>Active/PVDF/CB/DBP 50:?:18:?</t>
  </si>
  <si>
    <t>Whataman GF/D</t>
  </si>
  <si>
    <t>a=3.81</t>
  </si>
  <si>
    <t>ReO3</t>
  </si>
  <si>
    <t>exists 0.167, 0.5, 1.67</t>
  </si>
  <si>
    <t>Sun2009EA</t>
  </si>
  <si>
    <t>http://dx.doi.org/10.1016/j.electacta.2008.07.057</t>
  </si>
  <si>
    <t>DC reaction sputtering</t>
  </si>
  <si>
    <t>0.01, 0.26, 0.677, 1.97, 2.2, 2.51, 3.17, 3.38</t>
  </si>
  <si>
    <t>0.02, 0.47, 0.72, 2.12, 2.59</t>
  </si>
  <si>
    <t>0.6, 1.26, 1.70, 2.48, 2.61, 2.69</t>
  </si>
  <si>
    <t>a=4.12</t>
  </si>
  <si>
    <t>rock salt</t>
  </si>
  <si>
    <t>FeP</t>
  </si>
  <si>
    <t>Boyanov2006CM</t>
  </si>
  <si>
    <t>http://dx.doi.org/10.1021/cm060433m</t>
  </si>
  <si>
    <t>MnP</t>
  </si>
  <si>
    <t>1M LiPF6 EC/DMC 1:1 w/w</t>
  </si>
  <si>
    <t>Active/SP 85:15</t>
  </si>
  <si>
    <t>a=5.193, b=2.099, c=5.792</t>
  </si>
  <si>
    <t>0.69, 0.35</t>
  </si>
  <si>
    <t>0.57, 0.83</t>
  </si>
  <si>
    <t>Cruz2007JPS</t>
  </si>
  <si>
    <t>http://dx.doi.org/10.1016/j.jpowsour.2007.07.013</t>
  </si>
  <si>
    <t>Ni3P</t>
  </si>
  <si>
    <t>heated to 500 C in Ar atmosphere under pressure</t>
  </si>
  <si>
    <t>0.778, 0.699</t>
  </si>
  <si>
    <t>0.90, 1</t>
  </si>
  <si>
    <t>1.82, 1.53, 1.17</t>
  </si>
  <si>
    <t>I-4</t>
  </si>
  <si>
    <t>NiP3</t>
  </si>
  <si>
    <t>Boyanov2008I</t>
  </si>
  <si>
    <t>http://dx.doi.org/10.1007/s11581-007-0190-z</t>
  </si>
  <si>
    <t>a=7.8192</t>
  </si>
  <si>
    <t>!M LIPF6 EC/DMC 1:1 w/w</t>
  </si>
  <si>
    <t>Active/AB 85:15</t>
  </si>
  <si>
    <t>0.76, 0.65</t>
  </si>
  <si>
    <t>1.10, 1.14</t>
  </si>
  <si>
    <t>Wang2003EC</t>
  </si>
  <si>
    <t>http://dx.doi.org/10.1016/S1388-2481(03)00110-3</t>
  </si>
  <si>
    <t>CuP2</t>
  </si>
  <si>
    <t>Li1.75Cu1.25P2</t>
  </si>
  <si>
    <t>Active/AB/PTFE 77:20:3</t>
  </si>
  <si>
    <t>0.3 mA/cm^2</t>
  </si>
  <si>
    <t>C25=C15</t>
  </si>
  <si>
    <t>0.89, 1.10, 1.23</t>
  </si>
  <si>
    <t>0.86, 1.12, 1.24</t>
  </si>
  <si>
    <t>conversion/intercalation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</si>
</sst>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family val="2"/>
      <scheme val="minor"/>
    </font>
    <font>
      <sz val="11"/>
      <color indexed="8"/>
      <name val="Calibri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u/>
      <sz val="12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/>
    <xf numFmtId="0" fontId="0" fillId="2" borderId="0" xfId="0" applyFill="1"/>
    <xf numFmtId="0" fontId="3" fillId="0" borderId="0" xfId="1"/>
    <xf numFmtId="0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Fill="1"/>
    <xf numFmtId="0" fontId="0" fillId="0" borderId="0" xfId="0" applyFont="1"/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1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3" borderId="0" xfId="1" applyFill="1"/>
    <xf numFmtId="0" fontId="4" fillId="2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6" fillId="4" borderId="0" xfId="1" applyFont="1" applyFill="1"/>
    <xf numFmtId="0" fontId="5" fillId="0" borderId="0" xfId="0" applyFont="1" applyFill="1"/>
    <xf numFmtId="0" fontId="0" fillId="0" borderId="0" xfId="0" applyFill="1" applyAlignment="1">
      <alignment horizontal="center"/>
    </xf>
    <xf numFmtId="0" fontId="3" fillId="0" borderId="0" xfId="1" applyFill="1"/>
    <xf numFmtId="0" fontId="5" fillId="0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3" fillId="4" borderId="0" xfId="1" applyFill="1"/>
    <xf numFmtId="49" fontId="0" fillId="0" borderId="0" xfId="0" applyNumberFormat="1" applyFill="1"/>
    <xf numFmtId="0" fontId="4" fillId="0" borderId="0" xfId="0" applyFont="1" applyFill="1"/>
    <xf numFmtId="0" fontId="5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x.doi.org/10.1149/1.1602331" TargetMode="External"/><Relationship Id="rId21" Type="http://schemas.openxmlformats.org/officeDocument/2006/relationships/hyperlink" Target="http://dx.doi.org/10.1149/1.1836123" TargetMode="External"/><Relationship Id="rId42" Type="http://schemas.openxmlformats.org/officeDocument/2006/relationships/hyperlink" Target="http://dx.doi.org/10.1016/j.jpowsour.2005.03.095" TargetMode="External"/><Relationship Id="rId63" Type="http://schemas.openxmlformats.org/officeDocument/2006/relationships/hyperlink" Target="http://dx.doi.org/10.1002/adfm.200600997" TargetMode="External"/><Relationship Id="rId84" Type="http://schemas.openxmlformats.org/officeDocument/2006/relationships/hyperlink" Target="http://dx.doi.org/10.1149/1.1375176" TargetMode="External"/><Relationship Id="rId138" Type="http://schemas.openxmlformats.org/officeDocument/2006/relationships/hyperlink" Target="http://dx.doi.org/10.1021/cm051245j" TargetMode="External"/><Relationship Id="rId107" Type="http://schemas.openxmlformats.org/officeDocument/2006/relationships/hyperlink" Target="http://dx.doi.org/10.1149/1.1391622" TargetMode="External"/><Relationship Id="rId11" Type="http://schemas.openxmlformats.org/officeDocument/2006/relationships/hyperlink" Target="http://dx.doi.org/10.1016/j.electacta.2004.02.061" TargetMode="External"/><Relationship Id="rId32" Type="http://schemas.openxmlformats.org/officeDocument/2006/relationships/hyperlink" Target="http://dx.doi.org/10.1016/j.jpowsour.2009.11.133" TargetMode="External"/><Relationship Id="rId37" Type="http://schemas.openxmlformats.org/officeDocument/2006/relationships/hyperlink" Target="http://dx.doi.org/10.1038/35035045" TargetMode="External"/><Relationship Id="rId53" Type="http://schemas.openxmlformats.org/officeDocument/2006/relationships/hyperlink" Target="http://dx.doi.org/10.1021/nl902423a" TargetMode="External"/><Relationship Id="rId58" Type="http://schemas.openxmlformats.org/officeDocument/2006/relationships/hyperlink" Target="http://dx.doi.org/10.1016/j.jpowsour.2007.07.055" TargetMode="External"/><Relationship Id="rId74" Type="http://schemas.openxmlformats.org/officeDocument/2006/relationships/hyperlink" Target="http://dx.doi.org/10.1016/j.electacta.2005.04.042" TargetMode="External"/><Relationship Id="rId79" Type="http://schemas.openxmlformats.org/officeDocument/2006/relationships/hyperlink" Target="http://dx.doi.org/10.1016/S0378-7753(03)00731-6" TargetMode="External"/><Relationship Id="rId102" Type="http://schemas.openxmlformats.org/officeDocument/2006/relationships/hyperlink" Target="http://dx.doi.org/10.1149/1.2204871" TargetMode="External"/><Relationship Id="rId123" Type="http://schemas.openxmlformats.org/officeDocument/2006/relationships/hyperlink" Target="http://dx.doi.org/10.1002/adma.200602592" TargetMode="External"/><Relationship Id="rId128" Type="http://schemas.openxmlformats.org/officeDocument/2006/relationships/hyperlink" Target="http://dx.doi.org/10.1149/1.1938047" TargetMode="External"/><Relationship Id="rId5" Type="http://schemas.openxmlformats.org/officeDocument/2006/relationships/hyperlink" Target="http://dx.doi.org/10.1021/jp8038847" TargetMode="External"/><Relationship Id="rId90" Type="http://schemas.openxmlformats.org/officeDocument/2006/relationships/hyperlink" Target="http://dx.doi.org/10.1016/j.elecom.2005.03.013" TargetMode="External"/><Relationship Id="rId95" Type="http://schemas.openxmlformats.org/officeDocument/2006/relationships/hyperlink" Target="http://dx.doi.org/10.1149/1.1391819" TargetMode="External"/><Relationship Id="rId22" Type="http://schemas.openxmlformats.org/officeDocument/2006/relationships/hyperlink" Target="http://dx.doi.org/10.1149/1.1836123" TargetMode="External"/><Relationship Id="rId27" Type="http://schemas.openxmlformats.org/officeDocument/2006/relationships/hyperlink" Target="http://dx.doi.org/10.1021/cg701044b" TargetMode="External"/><Relationship Id="rId43" Type="http://schemas.openxmlformats.org/officeDocument/2006/relationships/hyperlink" Target="http://dx.doi.org/10.1016/j.jpowsour.2005.03.095" TargetMode="External"/><Relationship Id="rId48" Type="http://schemas.openxmlformats.org/officeDocument/2006/relationships/hyperlink" Target="http://dx.doi.org/10.1149/1.2197108" TargetMode="External"/><Relationship Id="rId64" Type="http://schemas.openxmlformats.org/officeDocument/2006/relationships/hyperlink" Target="http://dx.doi.org/10.1149/1.2861226" TargetMode="External"/><Relationship Id="rId69" Type="http://schemas.openxmlformats.org/officeDocument/2006/relationships/hyperlink" Target="http://dx.doi.org/10.1016/j.jpowsour.2004.07.032" TargetMode="External"/><Relationship Id="rId113" Type="http://schemas.openxmlformats.org/officeDocument/2006/relationships/hyperlink" Target="http://dx.doi.org/10.1016/S0378-7753(01)00934-X" TargetMode="External"/><Relationship Id="rId118" Type="http://schemas.openxmlformats.org/officeDocument/2006/relationships/hyperlink" Target="http://dx.doi.org/10.1149/1.1602331" TargetMode="External"/><Relationship Id="rId134" Type="http://schemas.openxmlformats.org/officeDocument/2006/relationships/hyperlink" Target="http://dx.doi.org/10.1149/1.3254161" TargetMode="External"/><Relationship Id="rId139" Type="http://schemas.openxmlformats.org/officeDocument/2006/relationships/hyperlink" Target="http://dx.doi.org/10.1016/j.jpowsour.2007.07.013" TargetMode="External"/><Relationship Id="rId80" Type="http://schemas.openxmlformats.org/officeDocument/2006/relationships/hyperlink" Target="http://dx.doi.org/10.1016/S0378-7753(03)00731-6" TargetMode="External"/><Relationship Id="rId85" Type="http://schemas.openxmlformats.org/officeDocument/2006/relationships/hyperlink" Target="http://dx.doi.org/10.1149/1.1764411" TargetMode="External"/><Relationship Id="rId12" Type="http://schemas.openxmlformats.org/officeDocument/2006/relationships/hyperlink" Target="http://dx.doi.org/10.1021/jp066655p" TargetMode="External"/><Relationship Id="rId17" Type="http://schemas.openxmlformats.org/officeDocument/2006/relationships/hyperlink" Target="http://dx.doi.org/10.1016/j.jallcom.2008.03.133" TargetMode="External"/><Relationship Id="rId33" Type="http://schemas.openxmlformats.org/officeDocument/2006/relationships/hyperlink" Target="http://dx.doi.org/10.1149/1.2783268" TargetMode="External"/><Relationship Id="rId38" Type="http://schemas.openxmlformats.org/officeDocument/2006/relationships/hyperlink" Target="http://dx.doi.org/10.1038/35035045" TargetMode="External"/><Relationship Id="rId59" Type="http://schemas.openxmlformats.org/officeDocument/2006/relationships/hyperlink" Target="http://dx.doi.org/10.1007/s10008-007-0420-3" TargetMode="External"/><Relationship Id="rId103" Type="http://schemas.openxmlformats.org/officeDocument/2006/relationships/hyperlink" Target="http://dx.doi.org/10.1016/S0167-2738(01)00900-6" TargetMode="External"/><Relationship Id="rId108" Type="http://schemas.openxmlformats.org/officeDocument/2006/relationships/hyperlink" Target="http://dx.doi.org/10.1149/1.1391623" TargetMode="External"/><Relationship Id="rId124" Type="http://schemas.openxmlformats.org/officeDocument/2006/relationships/hyperlink" Target="http://dx.doi.org/10.1002/adma.200602592" TargetMode="External"/><Relationship Id="rId129" Type="http://schemas.openxmlformats.org/officeDocument/2006/relationships/hyperlink" Target="http://dx.doi.org/10.1149/1.1938047" TargetMode="External"/><Relationship Id="rId54" Type="http://schemas.openxmlformats.org/officeDocument/2006/relationships/hyperlink" Target="http://dx.doi.org/10.1021/nl902423a" TargetMode="External"/><Relationship Id="rId70" Type="http://schemas.openxmlformats.org/officeDocument/2006/relationships/hyperlink" Target="http://dx.doi.org/10.1016/j.jpowsour.2004.07.032" TargetMode="External"/><Relationship Id="rId75" Type="http://schemas.openxmlformats.org/officeDocument/2006/relationships/hyperlink" Target="http://dx.doi.org/10.1016/j.electacta.2005.04.042" TargetMode="External"/><Relationship Id="rId91" Type="http://schemas.openxmlformats.org/officeDocument/2006/relationships/hyperlink" Target="http://dx.doi.org/10.1016/S0378-7753(01)00979-X" TargetMode="External"/><Relationship Id="rId96" Type="http://schemas.openxmlformats.org/officeDocument/2006/relationships/hyperlink" Target="http://dx.doi.org/10.1149/1.1391819" TargetMode="External"/><Relationship Id="rId140" Type="http://schemas.openxmlformats.org/officeDocument/2006/relationships/hyperlink" Target="http://dx.doi.org/10.1007/s11581-007-0190-z" TargetMode="External"/><Relationship Id="rId1" Type="http://schemas.openxmlformats.org/officeDocument/2006/relationships/hyperlink" Target="http://dx.doi.org/10.1021/jp8038847" TargetMode="External"/><Relationship Id="rId6" Type="http://schemas.openxmlformats.org/officeDocument/2006/relationships/hyperlink" Target="http://dx.doi.org/10.1016/S0925-8388(03)00380-3" TargetMode="External"/><Relationship Id="rId23" Type="http://schemas.openxmlformats.org/officeDocument/2006/relationships/hyperlink" Target="http://dx.doi.org/10.1149/1.1836123" TargetMode="External"/><Relationship Id="rId28" Type="http://schemas.openxmlformats.org/officeDocument/2006/relationships/hyperlink" Target="http://dx.doi.org/10.1016/j.electacta.2007.06.066" TargetMode="External"/><Relationship Id="rId49" Type="http://schemas.openxmlformats.org/officeDocument/2006/relationships/hyperlink" Target="http://dx.doi.org/10.1149/1.1353566" TargetMode="External"/><Relationship Id="rId114" Type="http://schemas.openxmlformats.org/officeDocument/2006/relationships/hyperlink" Target="http://dx.doi.org/10.1016/S0378-7753(01)00934-X" TargetMode="External"/><Relationship Id="rId119" Type="http://schemas.openxmlformats.org/officeDocument/2006/relationships/hyperlink" Target="http://dx.doi.org/10.1021/cm0481372" TargetMode="External"/><Relationship Id="rId44" Type="http://schemas.openxmlformats.org/officeDocument/2006/relationships/hyperlink" Target="http://dx.doi.org/10.1039/B810093D" TargetMode="External"/><Relationship Id="rId60" Type="http://schemas.openxmlformats.org/officeDocument/2006/relationships/hyperlink" Target="http://dx.doi.org/10.1016/j.electacta.2007.09.059" TargetMode="External"/><Relationship Id="rId65" Type="http://schemas.openxmlformats.org/officeDocument/2006/relationships/hyperlink" Target="http://dx.doi.org/10.1016/j.powtec.2012.05.035" TargetMode="External"/><Relationship Id="rId81" Type="http://schemas.openxmlformats.org/officeDocument/2006/relationships/hyperlink" Target="http://dx.doi.org/10.1016/S0378-7753(00)00385-2" TargetMode="External"/><Relationship Id="rId86" Type="http://schemas.openxmlformats.org/officeDocument/2006/relationships/hyperlink" Target="http://dx.doi.org/10.1149/1.1764411" TargetMode="External"/><Relationship Id="rId130" Type="http://schemas.openxmlformats.org/officeDocument/2006/relationships/hyperlink" Target="http://dx.doi.org/10.1149/1.2761829" TargetMode="External"/><Relationship Id="rId135" Type="http://schemas.openxmlformats.org/officeDocument/2006/relationships/hyperlink" Target="http://dx.doi.org/10.1016/j.ssi.2009.05.007" TargetMode="External"/><Relationship Id="rId13" Type="http://schemas.openxmlformats.org/officeDocument/2006/relationships/hyperlink" Target="http://dx.doi.org/10.1021/jp066655p" TargetMode="External"/><Relationship Id="rId18" Type="http://schemas.openxmlformats.org/officeDocument/2006/relationships/hyperlink" Target="http://dx.doi.org/10.1016/j.jallcom.2008.03.133" TargetMode="External"/><Relationship Id="rId39" Type="http://schemas.openxmlformats.org/officeDocument/2006/relationships/hyperlink" Target="http://dx.doi.org/10.1038/35035045" TargetMode="External"/><Relationship Id="rId109" Type="http://schemas.openxmlformats.org/officeDocument/2006/relationships/hyperlink" Target="http://dx.doi.org/10.1149/1.1391623" TargetMode="External"/><Relationship Id="rId34" Type="http://schemas.openxmlformats.org/officeDocument/2006/relationships/hyperlink" Target="http://dx.doi.org/10.1149/1.2783268" TargetMode="External"/><Relationship Id="rId50" Type="http://schemas.openxmlformats.org/officeDocument/2006/relationships/hyperlink" Target="http://dx.doi.org/10.1149/1.1353566" TargetMode="External"/><Relationship Id="rId55" Type="http://schemas.openxmlformats.org/officeDocument/2006/relationships/hyperlink" Target="http://dx.doi.org/10.1016/j.jpowsour.2009.06.043" TargetMode="External"/><Relationship Id="rId76" Type="http://schemas.openxmlformats.org/officeDocument/2006/relationships/hyperlink" Target="http://dx.doi.org/10.1016/j.jpowsour.2007.12.074" TargetMode="External"/><Relationship Id="rId97" Type="http://schemas.openxmlformats.org/officeDocument/2006/relationships/hyperlink" Target="http://dx.doi.org/10.1149/1.1390819" TargetMode="External"/><Relationship Id="rId104" Type="http://schemas.openxmlformats.org/officeDocument/2006/relationships/hyperlink" Target="http://dx.doi.org/10.1149/1.1391622" TargetMode="External"/><Relationship Id="rId120" Type="http://schemas.openxmlformats.org/officeDocument/2006/relationships/hyperlink" Target="http://dx.doi.org/10.1149/1.2836481" TargetMode="External"/><Relationship Id="rId125" Type="http://schemas.openxmlformats.org/officeDocument/2006/relationships/hyperlink" Target="http://dx.doi.org/10.1002/adma.200602592" TargetMode="External"/><Relationship Id="rId141" Type="http://schemas.openxmlformats.org/officeDocument/2006/relationships/hyperlink" Target="http://dx.doi.org/10.1016/S1388-2481(03)00110-3" TargetMode="External"/><Relationship Id="rId7" Type="http://schemas.openxmlformats.org/officeDocument/2006/relationships/hyperlink" Target="http://dx.doi.org/10.1016/S0925-8388(03)00380-3" TargetMode="External"/><Relationship Id="rId71" Type="http://schemas.openxmlformats.org/officeDocument/2006/relationships/hyperlink" Target="http://dx.doi.org/10.1016/j.jpowsour.2004.07.032" TargetMode="External"/><Relationship Id="rId92" Type="http://schemas.openxmlformats.org/officeDocument/2006/relationships/hyperlink" Target="http://dx.doi.org/10.1149/1.1837941" TargetMode="External"/><Relationship Id="rId2" Type="http://schemas.openxmlformats.org/officeDocument/2006/relationships/hyperlink" Target="http://dx.doi.org/10.1021/jp8038847" TargetMode="External"/><Relationship Id="rId29" Type="http://schemas.openxmlformats.org/officeDocument/2006/relationships/hyperlink" Target="http://dx.doi.org/10.1016/j.electacta.2007.06.066" TargetMode="External"/><Relationship Id="rId24" Type="http://schemas.openxmlformats.org/officeDocument/2006/relationships/hyperlink" Target="http://dx.doi.org/10.1149/1.1836123" TargetMode="External"/><Relationship Id="rId40" Type="http://schemas.openxmlformats.org/officeDocument/2006/relationships/hyperlink" Target="http://dx.doi.org/10.1038/35035045" TargetMode="External"/><Relationship Id="rId45" Type="http://schemas.openxmlformats.org/officeDocument/2006/relationships/hyperlink" Target="http://dx.doi.org/10.1039/B810093D" TargetMode="External"/><Relationship Id="rId66" Type="http://schemas.openxmlformats.org/officeDocument/2006/relationships/hyperlink" Target="http://dx.doi.org/10.1016/j.powtec.2012.05.035" TargetMode="External"/><Relationship Id="rId87" Type="http://schemas.openxmlformats.org/officeDocument/2006/relationships/hyperlink" Target="http://dx.doi.org/10.1149/1.2783268" TargetMode="External"/><Relationship Id="rId110" Type="http://schemas.openxmlformats.org/officeDocument/2006/relationships/hyperlink" Target="http://dx.doi.org/10.1149/1.1391623" TargetMode="External"/><Relationship Id="rId115" Type="http://schemas.openxmlformats.org/officeDocument/2006/relationships/hyperlink" Target="http://dx.doi.org/10.1016/S0378-7753(01)00934-X" TargetMode="External"/><Relationship Id="rId131" Type="http://schemas.openxmlformats.org/officeDocument/2006/relationships/hyperlink" Target="http://dx.doi.org/10.1149/1.1359194" TargetMode="External"/><Relationship Id="rId136" Type="http://schemas.openxmlformats.org/officeDocument/2006/relationships/hyperlink" Target="http://dx.doi.org/10.1149/1.1599845" TargetMode="External"/><Relationship Id="rId61" Type="http://schemas.openxmlformats.org/officeDocument/2006/relationships/hyperlink" Target="http://dx.doi.org/10.1016/j.ssi.2008.04.007" TargetMode="External"/><Relationship Id="rId82" Type="http://schemas.openxmlformats.org/officeDocument/2006/relationships/hyperlink" Target="http://dx.doi.org/10.1016/S0378-7753(00)00385-2" TargetMode="External"/><Relationship Id="rId19" Type="http://schemas.openxmlformats.org/officeDocument/2006/relationships/hyperlink" Target="http://dx.doi.org/10.1149/1.1788591" TargetMode="External"/><Relationship Id="rId14" Type="http://schemas.openxmlformats.org/officeDocument/2006/relationships/hyperlink" Target="http://dx.doi.org/10.1021/jp066655p" TargetMode="External"/><Relationship Id="rId30" Type="http://schemas.openxmlformats.org/officeDocument/2006/relationships/hyperlink" Target="http://dx.doi.org/10.1016/j.elecom.2007.03.031" TargetMode="External"/><Relationship Id="rId35" Type="http://schemas.openxmlformats.org/officeDocument/2006/relationships/hyperlink" Target="http://dx.doi.org/10.1038/35035045" TargetMode="External"/><Relationship Id="rId56" Type="http://schemas.openxmlformats.org/officeDocument/2006/relationships/hyperlink" Target="http://dx.doi.org/10.1016/j.electacta.2008.11.019" TargetMode="External"/><Relationship Id="rId77" Type="http://schemas.openxmlformats.org/officeDocument/2006/relationships/hyperlink" Target="http://dx.doi.org/10.1016/S0167-2738(02)00362-4" TargetMode="External"/><Relationship Id="rId100" Type="http://schemas.openxmlformats.org/officeDocument/2006/relationships/hyperlink" Target="http://dx.doi.org/10.1149/1.2204871" TargetMode="External"/><Relationship Id="rId105" Type="http://schemas.openxmlformats.org/officeDocument/2006/relationships/hyperlink" Target="http://dx.doi.org/10.1149/1.1391622" TargetMode="External"/><Relationship Id="rId126" Type="http://schemas.openxmlformats.org/officeDocument/2006/relationships/hyperlink" Target="http://dx.doi.org/10.1021/cm902745a" TargetMode="External"/><Relationship Id="rId8" Type="http://schemas.openxmlformats.org/officeDocument/2006/relationships/hyperlink" Target="http://dx.doi.org/10.1016/S0925-8388(03)00380-3" TargetMode="External"/><Relationship Id="rId51" Type="http://schemas.openxmlformats.org/officeDocument/2006/relationships/hyperlink" Target="http://dx.doi.org/10.1002/adma.200800999" TargetMode="External"/><Relationship Id="rId72" Type="http://schemas.openxmlformats.org/officeDocument/2006/relationships/hyperlink" Target="http://dx.doi.org/10.1016/S0378-7753(02)00207-0" TargetMode="External"/><Relationship Id="rId93" Type="http://schemas.openxmlformats.org/officeDocument/2006/relationships/hyperlink" Target="http://dx.doi.org/10.1149/1.1837941" TargetMode="External"/><Relationship Id="rId98" Type="http://schemas.openxmlformats.org/officeDocument/2006/relationships/hyperlink" Target="http://dx.doi.org/10.1149/1.1393889" TargetMode="External"/><Relationship Id="rId121" Type="http://schemas.openxmlformats.org/officeDocument/2006/relationships/hyperlink" Target="http://dx.doi.org/10.1149/1.2836481" TargetMode="External"/><Relationship Id="rId142" Type="http://schemas.openxmlformats.org/officeDocument/2006/relationships/hyperlink" Target="http://dx.doi.org/10.1016/S1388-2481(03)00110-3" TargetMode="External"/><Relationship Id="rId3" Type="http://schemas.openxmlformats.org/officeDocument/2006/relationships/hyperlink" Target="http://dx.doi.org/10.1021/jp8038847" TargetMode="External"/><Relationship Id="rId25" Type="http://schemas.openxmlformats.org/officeDocument/2006/relationships/hyperlink" Target="http://dx.doi.org/10.1149/1.1836123" TargetMode="External"/><Relationship Id="rId46" Type="http://schemas.openxmlformats.org/officeDocument/2006/relationships/hyperlink" Target="http://dx.doi.org/10.1039/B810093D" TargetMode="External"/><Relationship Id="rId67" Type="http://schemas.openxmlformats.org/officeDocument/2006/relationships/hyperlink" Target="http://dx.doi.org/10.1149/1.2163808" TargetMode="External"/><Relationship Id="rId116" Type="http://schemas.openxmlformats.org/officeDocument/2006/relationships/hyperlink" Target="http://dx.doi.org/10.1016/S0378-7753(01)00934-X" TargetMode="External"/><Relationship Id="rId137" Type="http://schemas.openxmlformats.org/officeDocument/2006/relationships/hyperlink" Target="http://dx.doi.org/10.1016/j.electacta.2008.07.057" TargetMode="External"/><Relationship Id="rId20" Type="http://schemas.openxmlformats.org/officeDocument/2006/relationships/hyperlink" Target="http://dx.doi.org/10.1016/j.elecom.2006.08.048" TargetMode="External"/><Relationship Id="rId41" Type="http://schemas.openxmlformats.org/officeDocument/2006/relationships/hyperlink" Target="http://dx.doi.org/10.1038/35035045" TargetMode="External"/><Relationship Id="rId62" Type="http://schemas.openxmlformats.org/officeDocument/2006/relationships/hyperlink" Target="http://dx.doi.org/10.1016/j.ssi.2008.04.007" TargetMode="External"/><Relationship Id="rId83" Type="http://schemas.openxmlformats.org/officeDocument/2006/relationships/hyperlink" Target="http://dx.doi.org/10.1149/1.2861226" TargetMode="External"/><Relationship Id="rId88" Type="http://schemas.openxmlformats.org/officeDocument/2006/relationships/hyperlink" Target="http://dx.doi.org/10.1016/j.elecom.2004.05.010" TargetMode="External"/><Relationship Id="rId111" Type="http://schemas.openxmlformats.org/officeDocument/2006/relationships/hyperlink" Target="http://dx.doi.org/10.1016/S0378-7753(01)00934-X" TargetMode="External"/><Relationship Id="rId132" Type="http://schemas.openxmlformats.org/officeDocument/2006/relationships/hyperlink" Target="http://dx.doi.org/10.1016/S1388-2481(01)00140-0" TargetMode="External"/><Relationship Id="rId15" Type="http://schemas.openxmlformats.org/officeDocument/2006/relationships/hyperlink" Target="http://dx.doi.org/10.1016/j.jallcom.2008.03.133" TargetMode="External"/><Relationship Id="rId36" Type="http://schemas.openxmlformats.org/officeDocument/2006/relationships/hyperlink" Target="http://dx.doi.org/10.1038/35035045" TargetMode="External"/><Relationship Id="rId57" Type="http://schemas.openxmlformats.org/officeDocument/2006/relationships/hyperlink" Target="http://dx.doi.org/10.1016/j.jpowsour.2007.07.055" TargetMode="External"/><Relationship Id="rId106" Type="http://schemas.openxmlformats.org/officeDocument/2006/relationships/hyperlink" Target="http://dx.doi.org/10.1149/1.1391622" TargetMode="External"/><Relationship Id="rId127" Type="http://schemas.openxmlformats.org/officeDocument/2006/relationships/hyperlink" Target="http://dx.doi.org/10.1149/1.1938047" TargetMode="External"/><Relationship Id="rId10" Type="http://schemas.openxmlformats.org/officeDocument/2006/relationships/hyperlink" Target="http://dx.doi.org/10.1016/S0378-7753(02)00024-1" TargetMode="External"/><Relationship Id="rId31" Type="http://schemas.openxmlformats.org/officeDocument/2006/relationships/hyperlink" Target="http://dx.doi.org/10.1016/j.elecom.2007.03.031" TargetMode="External"/><Relationship Id="rId52" Type="http://schemas.openxmlformats.org/officeDocument/2006/relationships/hyperlink" Target="http://dx.doi.org/10.1002/adma.200800999" TargetMode="External"/><Relationship Id="rId73" Type="http://schemas.openxmlformats.org/officeDocument/2006/relationships/hyperlink" Target="http://dx.doi.org/10.1016/j.electacta.2005.04.042" TargetMode="External"/><Relationship Id="rId78" Type="http://schemas.openxmlformats.org/officeDocument/2006/relationships/hyperlink" Target="http://dx.doi.org/10.1016/S0167-2738(02)00362-4" TargetMode="External"/><Relationship Id="rId94" Type="http://schemas.openxmlformats.org/officeDocument/2006/relationships/hyperlink" Target="http://dx.doi.org/10.1149/1.1391819" TargetMode="External"/><Relationship Id="rId99" Type="http://schemas.openxmlformats.org/officeDocument/2006/relationships/hyperlink" Target="http://dx.doi.org/10.1149/1.1393889" TargetMode="External"/><Relationship Id="rId101" Type="http://schemas.openxmlformats.org/officeDocument/2006/relationships/hyperlink" Target="http://dx.doi.org/10.1149/1.2204871" TargetMode="External"/><Relationship Id="rId122" Type="http://schemas.openxmlformats.org/officeDocument/2006/relationships/hyperlink" Target="http://dx.doi.org/10.1149/1.2836481" TargetMode="External"/><Relationship Id="rId4" Type="http://schemas.openxmlformats.org/officeDocument/2006/relationships/hyperlink" Target="http://dx.doi.org/10.1021/jp8038847" TargetMode="External"/><Relationship Id="rId9" Type="http://schemas.openxmlformats.org/officeDocument/2006/relationships/hyperlink" Target="http://dx.doi.org/10.1016/S0925-8388(03)00380-3" TargetMode="External"/><Relationship Id="rId26" Type="http://schemas.openxmlformats.org/officeDocument/2006/relationships/hyperlink" Target="http://dx.doi.org/10.1021/cg701044b" TargetMode="External"/><Relationship Id="rId47" Type="http://schemas.openxmlformats.org/officeDocument/2006/relationships/hyperlink" Target="http://dx.doi.org/10.1149/1.2197108" TargetMode="External"/><Relationship Id="rId68" Type="http://schemas.openxmlformats.org/officeDocument/2006/relationships/hyperlink" Target="http://dx.doi.org/10.1016/j.jpowsour.2004.07.032" TargetMode="External"/><Relationship Id="rId89" Type="http://schemas.openxmlformats.org/officeDocument/2006/relationships/hyperlink" Target="http://dx.doi.org/10.1016/j.elecom.2004.03.005" TargetMode="External"/><Relationship Id="rId112" Type="http://schemas.openxmlformats.org/officeDocument/2006/relationships/hyperlink" Target="http://dx.doi.org/10.1016/S0378-7753(01)00934-X" TargetMode="External"/><Relationship Id="rId133" Type="http://schemas.openxmlformats.org/officeDocument/2006/relationships/hyperlink" Target="http://dx.doi.org/10.1002/adma.200901427" TargetMode="External"/><Relationship Id="rId16" Type="http://schemas.openxmlformats.org/officeDocument/2006/relationships/hyperlink" Target="http://dx.doi.org/10.1016/j.jallcom.2008.03.1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14"/>
  <sheetViews>
    <sheetView tabSelected="1" zoomScaleNormal="100" workbookViewId="0">
      <pane ySplit="1" topLeftCell="A27" activePane="bottomLeft" state="frozen"/>
      <selection pane="bottomLeft" activeCell="D213" sqref="D213"/>
    </sheetView>
  </sheetViews>
  <sheetFormatPr baseColWidth="10" defaultColWidth="11" defaultRowHeight="16"/>
  <cols>
    <col min="1" max="1" width="13.83203125" customWidth="1"/>
    <col min="2" max="2" width="23.83203125" customWidth="1"/>
    <col min="3" max="3" width="14.33203125" bestFit="1" customWidth="1"/>
    <col min="4" max="4" width="28.6640625" bestFit="1" customWidth="1"/>
    <col min="5" max="5" width="18" style="11" customWidth="1"/>
    <col min="6" max="7" width="11" customWidth="1"/>
    <col min="8" max="8" width="17.6640625" bestFit="1" customWidth="1"/>
    <col min="9" max="9" width="2.5" customWidth="1"/>
    <col min="10" max="10" width="13.5" bestFit="1" customWidth="1"/>
    <col min="11" max="11" width="7" bestFit="1" customWidth="1"/>
    <col min="12" max="12" width="17.1640625" bestFit="1" customWidth="1"/>
    <col min="13" max="13" width="6.83203125" bestFit="1" customWidth="1"/>
    <col min="14" max="14" width="14.83203125" bestFit="1" customWidth="1"/>
    <col min="15" max="15" width="6.83203125" bestFit="1" customWidth="1"/>
    <col min="16" max="17" width="11" customWidth="1"/>
    <col min="18" max="18" width="16.1640625" bestFit="1" customWidth="1"/>
    <col min="19" max="19" width="18.6640625" bestFit="1" customWidth="1"/>
    <col min="20" max="20" width="17.1640625" bestFit="1" customWidth="1"/>
    <col min="21" max="21" width="17.6640625" bestFit="1" customWidth="1"/>
    <col min="22" max="23" width="18" customWidth="1"/>
    <col min="24" max="24" width="11" customWidth="1"/>
    <col min="25" max="25" width="12" bestFit="1" customWidth="1"/>
    <col min="26" max="26" width="12.1640625" customWidth="1"/>
    <col min="27" max="28" width="14.83203125" customWidth="1"/>
    <col min="29" max="29" width="14" bestFit="1" customWidth="1"/>
    <col min="30" max="30" width="16.1640625" bestFit="1" customWidth="1"/>
    <col min="31" max="31" width="25.5" bestFit="1" customWidth="1"/>
    <col min="32" max="32" width="26" customWidth="1"/>
    <col min="33" max="33" width="16" bestFit="1" customWidth="1"/>
    <col min="34" max="34" width="25.83203125" bestFit="1" customWidth="1"/>
    <col min="35" max="35" width="6.83203125" customWidth="1"/>
    <col min="36" max="36" width="25.83203125" bestFit="1" customWidth="1"/>
    <col min="37" max="37" width="10.5" customWidth="1"/>
    <col min="38" max="38" width="12.83203125" customWidth="1"/>
    <col min="39" max="39" width="32" customWidth="1"/>
    <col min="40" max="40" width="31.5" customWidth="1"/>
    <col min="41" max="41" width="22.5" customWidth="1"/>
    <col min="42" max="42" width="17.1640625" customWidth="1"/>
    <col min="43" max="43" width="29" bestFit="1" customWidth="1"/>
    <col min="44" max="44" width="19.1640625" bestFit="1" customWidth="1"/>
    <col min="45" max="45" width="21.1640625" bestFit="1" customWidth="1"/>
    <col min="46" max="47" width="21.1640625" customWidth="1"/>
    <col min="48" max="48" width="20.1640625" bestFit="1" customWidth="1"/>
    <col min="49" max="51" width="20.1640625" customWidth="1"/>
    <col min="52" max="52" width="28" bestFit="1" customWidth="1"/>
    <col min="53" max="53" width="33.6640625" bestFit="1" customWidth="1"/>
    <col min="54" max="54" width="3.5" customWidth="1"/>
    <col min="55" max="55" width="22.33203125" bestFit="1" customWidth="1"/>
    <col min="56" max="56" width="18.5" bestFit="1" customWidth="1"/>
    <col min="57" max="57" width="18" bestFit="1" customWidth="1"/>
    <col min="58" max="58" width="13" bestFit="1" customWidth="1"/>
    <col min="59" max="59" width="17" bestFit="1" customWidth="1"/>
    <col min="60" max="60" width="15.5" bestFit="1" customWidth="1"/>
    <col min="61" max="61" width="12.33203125" bestFit="1" customWidth="1"/>
    <col min="62" max="62" width="27.83203125" bestFit="1" customWidth="1"/>
    <col min="63" max="63" width="18.6640625" bestFit="1" customWidth="1"/>
    <col min="64" max="64" width="13.1640625" bestFit="1" customWidth="1"/>
    <col min="65" max="65" width="21.1640625" bestFit="1" customWidth="1"/>
    <col min="66" max="66" width="17.33203125" bestFit="1" customWidth="1"/>
    <col min="67" max="67" width="25.6640625" bestFit="1" customWidth="1"/>
    <col min="68" max="68" width="26" bestFit="1" customWidth="1"/>
    <col min="69" max="69" width="19.1640625" customWidth="1"/>
    <col min="70" max="70" width="30.1640625" bestFit="1" customWidth="1"/>
    <col min="71" max="71" width="27.6640625" bestFit="1" customWidth="1"/>
    <col min="72" max="72" width="28.83203125" bestFit="1" customWidth="1"/>
    <col min="73" max="73" width="13.1640625" bestFit="1" customWidth="1"/>
    <col min="74" max="74" width="17.83203125" bestFit="1" customWidth="1"/>
    <col min="75" max="75" width="17.1640625" bestFit="1" customWidth="1"/>
  </cols>
  <sheetData>
    <row r="1" spans="1:85">
      <c r="A1" s="1" t="s">
        <v>65</v>
      </c>
      <c r="B1" s="1" t="s">
        <v>0</v>
      </c>
      <c r="C1" s="1" t="s">
        <v>165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2"/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4</v>
      </c>
      <c r="P1" s="10" t="s">
        <v>194</v>
      </c>
      <c r="Q1" s="1" t="s">
        <v>11</v>
      </c>
      <c r="R1" s="1" t="s">
        <v>12</v>
      </c>
      <c r="S1" s="1" t="s">
        <v>13</v>
      </c>
      <c r="T1" s="1" t="s">
        <v>66</v>
      </c>
      <c r="U1" s="1" t="s">
        <v>67</v>
      </c>
      <c r="V1" s="1" t="s">
        <v>177</v>
      </c>
      <c r="W1" s="1" t="s">
        <v>326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879</v>
      </c>
      <c r="AC1" s="3" t="s">
        <v>18</v>
      </c>
      <c r="AD1" s="3" t="s">
        <v>19</v>
      </c>
      <c r="AE1" s="3" t="s">
        <v>21</v>
      </c>
      <c r="AF1" s="3" t="s">
        <v>22</v>
      </c>
      <c r="AG1" s="1" t="s">
        <v>651</v>
      </c>
      <c r="AH1" s="1" t="s">
        <v>20</v>
      </c>
      <c r="AI1" s="1" t="s">
        <v>23</v>
      </c>
      <c r="AJ1" s="1" t="s">
        <v>24</v>
      </c>
      <c r="AK1" s="1" t="s">
        <v>902</v>
      </c>
      <c r="AL1" s="1" t="s">
        <v>903</v>
      </c>
      <c r="AM1" s="1" t="s">
        <v>25</v>
      </c>
      <c r="AN1" s="1" t="s">
        <v>26</v>
      </c>
      <c r="AO1" s="1" t="s">
        <v>27</v>
      </c>
      <c r="AP1" s="1" t="s">
        <v>28</v>
      </c>
      <c r="AQ1" s="1" t="s">
        <v>29</v>
      </c>
      <c r="AR1" s="1" t="s">
        <v>30</v>
      </c>
      <c r="AS1" s="1" t="s">
        <v>402</v>
      </c>
      <c r="AT1" s="1" t="s">
        <v>463</v>
      </c>
      <c r="AU1" s="1" t="s">
        <v>426</v>
      </c>
      <c r="AV1" s="1" t="s">
        <v>387</v>
      </c>
      <c r="AW1" s="1" t="s">
        <v>433</v>
      </c>
      <c r="AX1" s="1" t="s">
        <v>493</v>
      </c>
      <c r="AY1" s="1"/>
      <c r="AZ1" s="1" t="s">
        <v>31</v>
      </c>
      <c r="BA1" s="1" t="s">
        <v>32</v>
      </c>
      <c r="BB1" s="1"/>
      <c r="BC1" s="1" t="s">
        <v>33</v>
      </c>
      <c r="BD1" s="1" t="s">
        <v>34</v>
      </c>
      <c r="BE1" s="1" t="s">
        <v>35</v>
      </c>
      <c r="BF1" s="1" t="s">
        <v>36</v>
      </c>
      <c r="BG1" s="1" t="s">
        <v>37</v>
      </c>
      <c r="BH1" s="1" t="s">
        <v>38</v>
      </c>
      <c r="BI1" s="1" t="s">
        <v>39</v>
      </c>
      <c r="BJ1" s="4" t="s">
        <v>40</v>
      </c>
      <c r="BK1" s="4" t="s">
        <v>41</v>
      </c>
      <c r="BL1" s="4" t="s">
        <v>42</v>
      </c>
      <c r="BM1" s="4" t="s">
        <v>43</v>
      </c>
      <c r="BN1" s="4" t="s">
        <v>44</v>
      </c>
      <c r="BO1" s="1" t="s">
        <v>45</v>
      </c>
      <c r="BP1" s="4" t="s">
        <v>46</v>
      </c>
      <c r="BQ1" s="4" t="s">
        <v>47</v>
      </c>
      <c r="BR1" s="4" t="s">
        <v>48</v>
      </c>
      <c r="BS1" s="4" t="s">
        <v>49</v>
      </c>
      <c r="BT1" s="4" t="s">
        <v>50</v>
      </c>
      <c r="BU1" s="4" t="s">
        <v>51</v>
      </c>
      <c r="BV1" s="4" t="s">
        <v>52</v>
      </c>
      <c r="BW1" s="4" t="s">
        <v>53</v>
      </c>
      <c r="BX1" s="4" t="s">
        <v>54</v>
      </c>
      <c r="BY1" s="4" t="s">
        <v>55</v>
      </c>
      <c r="BZ1" s="4" t="s">
        <v>56</v>
      </c>
      <c r="CA1" s="4" t="s">
        <v>57</v>
      </c>
      <c r="CB1" s="4" t="s">
        <v>58</v>
      </c>
      <c r="CC1" s="4" t="s">
        <v>59</v>
      </c>
      <c r="CD1" s="4" t="s">
        <v>60</v>
      </c>
      <c r="CE1" s="4" t="s">
        <v>61</v>
      </c>
      <c r="CF1" s="4" t="s">
        <v>62</v>
      </c>
      <c r="CG1" s="4" t="s">
        <v>63</v>
      </c>
    </row>
    <row r="2" spans="1:85" s="6" customFormat="1">
      <c r="A2" s="4" t="s">
        <v>80</v>
      </c>
      <c r="B2" s="4" t="s">
        <v>68</v>
      </c>
      <c r="C2" s="4" t="s">
        <v>166</v>
      </c>
      <c r="D2" s="4" t="s">
        <v>115</v>
      </c>
      <c r="E2" s="4"/>
      <c r="F2" s="4"/>
      <c r="G2" s="4"/>
      <c r="H2" s="4" t="s">
        <v>72</v>
      </c>
      <c r="I2" s="4"/>
      <c r="J2" s="6" t="s">
        <v>74</v>
      </c>
      <c r="K2" s="4"/>
      <c r="L2" s="4" t="s">
        <v>445</v>
      </c>
      <c r="M2" s="4"/>
      <c r="N2" s="4"/>
      <c r="O2" s="4"/>
      <c r="P2" s="4" t="s">
        <v>82</v>
      </c>
      <c r="Q2" s="4" t="s">
        <v>77</v>
      </c>
      <c r="R2" s="4" t="s">
        <v>78</v>
      </c>
      <c r="S2" s="4"/>
      <c r="T2" s="4">
        <v>0.2</v>
      </c>
      <c r="U2" s="4">
        <v>3</v>
      </c>
      <c r="V2" s="4"/>
      <c r="W2" s="4"/>
      <c r="X2" s="4"/>
      <c r="Y2" s="4"/>
      <c r="Z2" s="4"/>
      <c r="AA2" s="4"/>
      <c r="AB2" s="4"/>
      <c r="AE2" s="15" t="s">
        <v>81</v>
      </c>
      <c r="AF2" s="15" t="s">
        <v>81</v>
      </c>
      <c r="AG2" s="4"/>
      <c r="AH2" s="4"/>
      <c r="AI2" s="4">
        <v>890</v>
      </c>
      <c r="AJ2" s="4">
        <v>890</v>
      </c>
      <c r="AK2" s="4"/>
      <c r="AL2" s="4"/>
      <c r="AM2" s="4">
        <v>739</v>
      </c>
      <c r="AN2" s="4"/>
      <c r="AO2" s="4"/>
      <c r="AP2" s="6" t="s">
        <v>76</v>
      </c>
      <c r="AQ2" s="4"/>
      <c r="AR2" s="4"/>
      <c r="AS2" s="4"/>
      <c r="AT2" s="4"/>
      <c r="AU2" s="4"/>
      <c r="AV2" s="4"/>
      <c r="AW2" s="4"/>
      <c r="AX2" s="4"/>
      <c r="AY2" s="4"/>
      <c r="AZ2" s="4" t="s">
        <v>64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</row>
    <row r="3" spans="1:85" s="6" customFormat="1">
      <c r="A3" s="6" t="s">
        <v>80</v>
      </c>
      <c r="B3" s="6" t="s">
        <v>69</v>
      </c>
      <c r="C3" s="6" t="s">
        <v>166</v>
      </c>
      <c r="D3" s="4" t="s">
        <v>115</v>
      </c>
      <c r="E3" s="16"/>
      <c r="H3" s="6" t="s">
        <v>72</v>
      </c>
      <c r="J3" s="6" t="s">
        <v>74</v>
      </c>
      <c r="L3" s="4" t="s">
        <v>445</v>
      </c>
      <c r="P3" s="6" t="s">
        <v>82</v>
      </c>
      <c r="Q3" s="4" t="s">
        <v>77</v>
      </c>
      <c r="R3" s="4" t="s">
        <v>78</v>
      </c>
      <c r="S3" s="4"/>
      <c r="T3" s="6">
        <v>0.2</v>
      </c>
      <c r="U3" s="6">
        <v>3</v>
      </c>
      <c r="AE3" s="15" t="s">
        <v>81</v>
      </c>
      <c r="AF3" s="15" t="s">
        <v>81</v>
      </c>
      <c r="AI3" s="6">
        <v>1100</v>
      </c>
      <c r="AJ3" s="6">
        <v>1100</v>
      </c>
      <c r="AM3" s="6">
        <v>350</v>
      </c>
      <c r="AP3" s="6" t="s">
        <v>76</v>
      </c>
    </row>
    <row r="4" spans="1:85" s="6" customFormat="1">
      <c r="A4" s="6" t="s">
        <v>80</v>
      </c>
      <c r="B4" s="6" t="s">
        <v>70</v>
      </c>
      <c r="C4" s="6" t="s">
        <v>166</v>
      </c>
      <c r="D4" s="4" t="s">
        <v>115</v>
      </c>
      <c r="E4" s="16"/>
      <c r="H4" s="6" t="s">
        <v>444</v>
      </c>
      <c r="J4" s="6" t="s">
        <v>75</v>
      </c>
      <c r="L4" s="4" t="s">
        <v>445</v>
      </c>
      <c r="P4" s="6" t="s">
        <v>82</v>
      </c>
      <c r="Q4" s="4" t="s">
        <v>77</v>
      </c>
      <c r="R4" s="4" t="s">
        <v>78</v>
      </c>
      <c r="S4" s="4"/>
      <c r="T4" s="6">
        <v>0.2</v>
      </c>
      <c r="U4" s="6">
        <v>3</v>
      </c>
      <c r="AE4" s="15" t="s">
        <v>81</v>
      </c>
      <c r="AF4" s="15" t="s">
        <v>81</v>
      </c>
      <c r="AI4" s="6">
        <v>1050</v>
      </c>
      <c r="AJ4" s="6">
        <v>1050</v>
      </c>
      <c r="AM4" s="6">
        <v>720</v>
      </c>
      <c r="AP4" s="6" t="s">
        <v>79</v>
      </c>
    </row>
    <row r="5" spans="1:85" s="6" customFormat="1">
      <c r="A5" s="6" t="s">
        <v>80</v>
      </c>
      <c r="B5" s="6" t="s">
        <v>71</v>
      </c>
      <c r="C5" s="6" t="s">
        <v>166</v>
      </c>
      <c r="D5" s="4" t="s">
        <v>115</v>
      </c>
      <c r="E5" s="16"/>
      <c r="H5" s="6" t="s">
        <v>444</v>
      </c>
      <c r="J5" s="6" t="s">
        <v>74</v>
      </c>
      <c r="L5" s="4" t="s">
        <v>445</v>
      </c>
      <c r="P5" s="6" t="s">
        <v>82</v>
      </c>
      <c r="Q5" s="4" t="s">
        <v>77</v>
      </c>
      <c r="R5" s="4" t="s">
        <v>78</v>
      </c>
      <c r="S5" s="4"/>
      <c r="T5" s="6">
        <v>0.2</v>
      </c>
      <c r="U5" s="6">
        <v>3</v>
      </c>
      <c r="AE5" s="15" t="s">
        <v>81</v>
      </c>
      <c r="AF5" s="15" t="s">
        <v>81</v>
      </c>
      <c r="AI5" s="6">
        <v>1100</v>
      </c>
      <c r="AJ5" s="6">
        <v>1100</v>
      </c>
      <c r="AM5" s="6">
        <v>700</v>
      </c>
      <c r="AP5" s="6" t="s">
        <v>79</v>
      </c>
    </row>
    <row r="6" spans="1:85" s="6" customFormat="1">
      <c r="A6" s="6">
        <v>20</v>
      </c>
      <c r="B6" s="6" t="s">
        <v>106</v>
      </c>
      <c r="C6" s="6" t="s">
        <v>166</v>
      </c>
      <c r="D6" s="4" t="s">
        <v>195</v>
      </c>
      <c r="E6" s="16"/>
      <c r="H6" s="6" t="s">
        <v>73</v>
      </c>
      <c r="J6" s="6" t="s">
        <v>133</v>
      </c>
      <c r="L6" s="4" t="s">
        <v>107</v>
      </c>
      <c r="P6" s="6" t="s">
        <v>108</v>
      </c>
      <c r="Q6" s="4" t="s">
        <v>104</v>
      </c>
      <c r="R6" s="6" t="s">
        <v>105</v>
      </c>
      <c r="T6" s="6">
        <v>0</v>
      </c>
      <c r="U6" s="6">
        <v>4</v>
      </c>
      <c r="AE6" s="6">
        <v>7.5</v>
      </c>
      <c r="AF6" s="6">
        <v>7.5</v>
      </c>
      <c r="AI6" s="6">
        <v>376</v>
      </c>
      <c r="AJ6" s="6">
        <v>376</v>
      </c>
      <c r="AM6" s="6">
        <v>367</v>
      </c>
      <c r="AT6" s="6">
        <v>1.6</v>
      </c>
      <c r="AU6" s="6">
        <v>2.2999999999999998</v>
      </c>
    </row>
    <row r="7" spans="1:85" s="6" customFormat="1">
      <c r="A7" s="6">
        <v>20</v>
      </c>
      <c r="B7" s="6" t="s">
        <v>94</v>
      </c>
      <c r="C7" s="6" t="s">
        <v>166</v>
      </c>
      <c r="D7" s="4" t="s">
        <v>195</v>
      </c>
      <c r="E7" s="16"/>
      <c r="H7" s="6" t="s">
        <v>73</v>
      </c>
      <c r="J7" s="6" t="s">
        <v>133</v>
      </c>
      <c r="L7" s="4" t="s">
        <v>107</v>
      </c>
      <c r="P7" s="6" t="s">
        <v>108</v>
      </c>
      <c r="Q7" s="4" t="s">
        <v>104</v>
      </c>
      <c r="R7" s="6" t="s">
        <v>105</v>
      </c>
      <c r="T7" s="6">
        <v>0</v>
      </c>
      <c r="U7" s="6">
        <v>4</v>
      </c>
      <c r="AC7" s="6">
        <f>AE7/AH7</f>
        <v>1.6797312430011199E-2</v>
      </c>
      <c r="AD7" s="6">
        <f>AF7/AH7</f>
        <v>1.6797312430011199E-2</v>
      </c>
      <c r="AE7" s="6">
        <v>15</v>
      </c>
      <c r="AF7" s="6">
        <v>15</v>
      </c>
      <c r="AH7" s="6">
        <v>893</v>
      </c>
      <c r="AI7" s="6">
        <v>670</v>
      </c>
      <c r="AJ7" s="6">
        <v>670</v>
      </c>
      <c r="AM7" s="6">
        <v>657</v>
      </c>
      <c r="AP7" s="6" t="s">
        <v>109</v>
      </c>
      <c r="AT7" s="6">
        <v>1.6</v>
      </c>
      <c r="AU7" s="6">
        <v>2.2999999999999998</v>
      </c>
    </row>
    <row r="8" spans="1:85" s="6" customFormat="1">
      <c r="A8" s="6">
        <v>80</v>
      </c>
      <c r="B8" s="6" t="s">
        <v>143</v>
      </c>
      <c r="C8" s="6" t="s">
        <v>166</v>
      </c>
      <c r="D8" s="4" t="s">
        <v>115</v>
      </c>
      <c r="E8" s="16"/>
      <c r="F8" s="6" t="s">
        <v>151</v>
      </c>
      <c r="H8" s="6" t="s">
        <v>156</v>
      </c>
      <c r="J8" s="6" t="s">
        <v>74</v>
      </c>
      <c r="L8" s="4" t="s">
        <v>154</v>
      </c>
      <c r="P8" s="6" t="s">
        <v>82</v>
      </c>
      <c r="Q8" s="4" t="s">
        <v>147</v>
      </c>
      <c r="R8" s="17" t="s">
        <v>148</v>
      </c>
      <c r="T8" s="6">
        <v>1</v>
      </c>
      <c r="U8" s="6">
        <v>3</v>
      </c>
      <c r="X8" s="6" t="s">
        <v>169</v>
      </c>
      <c r="AA8" s="6" t="s">
        <v>157</v>
      </c>
      <c r="AE8" s="6" t="s">
        <v>149</v>
      </c>
      <c r="AF8" s="6" t="s">
        <v>150</v>
      </c>
      <c r="AH8" s="6">
        <v>590</v>
      </c>
      <c r="AJ8" s="6">
        <v>422</v>
      </c>
    </row>
    <row r="9" spans="1:85" s="6" customFormat="1">
      <c r="A9" s="6">
        <v>80</v>
      </c>
      <c r="B9" s="6" t="s">
        <v>143</v>
      </c>
      <c r="C9" s="6" t="s">
        <v>166</v>
      </c>
      <c r="D9" s="4" t="s">
        <v>115</v>
      </c>
      <c r="E9" s="16"/>
      <c r="F9" s="6" t="s">
        <v>152</v>
      </c>
      <c r="H9" s="6" t="s">
        <v>156</v>
      </c>
      <c r="J9" s="6" t="s">
        <v>74</v>
      </c>
      <c r="L9" s="4" t="s">
        <v>154</v>
      </c>
      <c r="P9" s="6" t="s">
        <v>82</v>
      </c>
      <c r="Q9" s="4" t="s">
        <v>147</v>
      </c>
      <c r="R9" s="17" t="s">
        <v>148</v>
      </c>
      <c r="T9" s="6">
        <v>1</v>
      </c>
      <c r="U9" s="6">
        <v>3</v>
      </c>
      <c r="X9" s="6" t="s">
        <v>169</v>
      </c>
      <c r="AA9" s="6" t="s">
        <v>157</v>
      </c>
      <c r="AE9" s="6" t="s">
        <v>149</v>
      </c>
      <c r="AF9" s="6" t="s">
        <v>150</v>
      </c>
      <c r="AH9" s="6">
        <v>590</v>
      </c>
      <c r="AJ9" s="6">
        <v>462</v>
      </c>
    </row>
    <row r="10" spans="1:85" s="6" customFormat="1">
      <c r="A10" s="6">
        <v>80</v>
      </c>
      <c r="B10" s="6" t="s">
        <v>143</v>
      </c>
      <c r="C10" s="6" t="s">
        <v>166</v>
      </c>
      <c r="D10" s="4" t="s">
        <v>115</v>
      </c>
      <c r="E10" s="16"/>
      <c r="F10" s="6" t="s">
        <v>153</v>
      </c>
      <c r="H10" s="6" t="s">
        <v>156</v>
      </c>
      <c r="J10" s="6" t="s">
        <v>74</v>
      </c>
      <c r="L10" s="4" t="s">
        <v>154</v>
      </c>
      <c r="P10" s="6" t="s">
        <v>82</v>
      </c>
      <c r="Q10" s="4" t="s">
        <v>147</v>
      </c>
      <c r="R10" s="17" t="s">
        <v>148</v>
      </c>
      <c r="T10" s="6">
        <v>1</v>
      </c>
      <c r="U10" s="6">
        <v>3</v>
      </c>
      <c r="X10" s="6" t="s">
        <v>169</v>
      </c>
      <c r="AA10" s="6" t="s">
        <v>157</v>
      </c>
      <c r="AE10" s="6" t="s">
        <v>149</v>
      </c>
      <c r="AF10" s="6" t="s">
        <v>150</v>
      </c>
      <c r="AH10" s="6">
        <v>590</v>
      </c>
      <c r="AJ10" s="6">
        <v>580</v>
      </c>
      <c r="AM10" s="6">
        <v>580</v>
      </c>
      <c r="AN10" s="6">
        <v>575</v>
      </c>
      <c r="AO10" s="6">
        <v>570</v>
      </c>
      <c r="AQ10" s="6">
        <f t="shared" ref="AQ10:AQ15" si="0">AN10/AJ10</f>
        <v>0.99137931034482762</v>
      </c>
      <c r="AR10" s="6">
        <f t="shared" ref="AR10:AR15" si="1">(AJ10-AN10)/50</f>
        <v>0.1</v>
      </c>
    </row>
    <row r="11" spans="1:85" s="6" customFormat="1">
      <c r="A11" s="6" t="s">
        <v>80</v>
      </c>
      <c r="B11" s="6" t="s">
        <v>143</v>
      </c>
      <c r="C11" s="6" t="s">
        <v>166</v>
      </c>
      <c r="D11" s="4" t="s">
        <v>115</v>
      </c>
      <c r="E11" s="16"/>
      <c r="F11" s="6" t="s">
        <v>153</v>
      </c>
      <c r="H11" s="6" t="s">
        <v>156</v>
      </c>
      <c r="J11" s="6" t="s">
        <v>75</v>
      </c>
      <c r="L11" s="4" t="s">
        <v>155</v>
      </c>
      <c r="P11" s="6" t="s">
        <v>82</v>
      </c>
      <c r="Q11" s="4" t="s">
        <v>147</v>
      </c>
      <c r="R11" s="17" t="s">
        <v>148</v>
      </c>
      <c r="T11" s="6">
        <v>1</v>
      </c>
      <c r="U11" s="6">
        <v>3</v>
      </c>
      <c r="X11" s="6" t="s">
        <v>169</v>
      </c>
      <c r="AA11" s="6" t="s">
        <v>157</v>
      </c>
      <c r="AE11" s="6" t="s">
        <v>149</v>
      </c>
      <c r="AF11" s="6" t="s">
        <v>150</v>
      </c>
      <c r="AH11" s="6">
        <v>590</v>
      </c>
      <c r="AJ11" s="6">
        <v>580</v>
      </c>
      <c r="AM11" s="6">
        <v>416</v>
      </c>
      <c r="AN11" s="6">
        <v>393</v>
      </c>
      <c r="AO11" s="6">
        <v>368</v>
      </c>
      <c r="AQ11" s="6">
        <f t="shared" si="0"/>
        <v>0.67758620689655169</v>
      </c>
      <c r="AR11" s="6">
        <f t="shared" si="1"/>
        <v>3.74</v>
      </c>
    </row>
    <row r="12" spans="1:85" s="6" customFormat="1">
      <c r="A12" s="6" t="s">
        <v>80</v>
      </c>
      <c r="B12" s="6" t="s">
        <v>123</v>
      </c>
      <c r="C12" s="6" t="s">
        <v>166</v>
      </c>
      <c r="D12" s="4" t="s">
        <v>122</v>
      </c>
      <c r="E12" s="16"/>
      <c r="H12" s="6" t="s">
        <v>108</v>
      </c>
      <c r="J12" s="6" t="s">
        <v>74</v>
      </c>
      <c r="L12" s="4" t="s">
        <v>84</v>
      </c>
      <c r="Q12" s="4" t="s">
        <v>210</v>
      </c>
      <c r="R12" s="6" t="s">
        <v>124</v>
      </c>
      <c r="T12" s="6">
        <v>0.05</v>
      </c>
      <c r="U12" s="6">
        <v>3</v>
      </c>
      <c r="Y12" s="6" t="s">
        <v>126</v>
      </c>
      <c r="AE12" s="6" t="s">
        <v>125</v>
      </c>
      <c r="AF12" s="6" t="s">
        <v>125</v>
      </c>
      <c r="AJ12" s="6">
        <v>1080</v>
      </c>
      <c r="AM12" s="6">
        <v>430</v>
      </c>
      <c r="AN12" s="6">
        <v>420</v>
      </c>
      <c r="AQ12" s="6">
        <f t="shared" si="0"/>
        <v>0.3888888888888889</v>
      </c>
      <c r="AR12" s="6">
        <f t="shared" si="1"/>
        <v>13.2</v>
      </c>
    </row>
    <row r="13" spans="1:85" s="6" customFormat="1">
      <c r="A13" s="6" t="s">
        <v>80</v>
      </c>
      <c r="B13" s="6" t="s">
        <v>199</v>
      </c>
      <c r="C13" s="6" t="s">
        <v>166</v>
      </c>
      <c r="D13" s="4" t="s">
        <v>201</v>
      </c>
      <c r="E13" s="16"/>
      <c r="H13" s="6" t="s">
        <v>200</v>
      </c>
      <c r="J13" s="6" t="s">
        <v>74</v>
      </c>
      <c r="L13" s="4" t="s">
        <v>202</v>
      </c>
      <c r="P13" s="22" t="s">
        <v>208</v>
      </c>
      <c r="Q13" s="4" t="s">
        <v>197</v>
      </c>
      <c r="R13" s="17" t="s">
        <v>198</v>
      </c>
      <c r="T13" s="6">
        <v>0.1</v>
      </c>
      <c r="U13" s="6">
        <v>3</v>
      </c>
      <c r="Z13" s="6" t="s">
        <v>207</v>
      </c>
      <c r="AE13" s="6" t="s">
        <v>203</v>
      </c>
      <c r="AF13" s="6" t="s">
        <v>203</v>
      </c>
      <c r="AH13" s="6">
        <v>670</v>
      </c>
      <c r="AJ13" s="6">
        <v>705</v>
      </c>
      <c r="AM13" s="6">
        <v>367</v>
      </c>
      <c r="AN13" s="6">
        <v>353</v>
      </c>
      <c r="AQ13" s="6">
        <f t="shared" si="0"/>
        <v>0.50070921985815597</v>
      </c>
      <c r="AR13" s="6">
        <f t="shared" si="1"/>
        <v>7.04</v>
      </c>
      <c r="AV13" s="6">
        <v>1.69</v>
      </c>
    </row>
    <row r="14" spans="1:85" s="6" customFormat="1">
      <c r="A14" s="6" t="s">
        <v>80</v>
      </c>
      <c r="B14" s="6" t="s">
        <v>204</v>
      </c>
      <c r="C14" s="6" t="s">
        <v>166</v>
      </c>
      <c r="D14" s="4" t="s">
        <v>201</v>
      </c>
      <c r="E14" s="16"/>
      <c r="H14" s="6" t="s">
        <v>73</v>
      </c>
      <c r="J14" s="6" t="s">
        <v>74</v>
      </c>
      <c r="L14" s="4" t="s">
        <v>202</v>
      </c>
      <c r="Q14" s="4" t="s">
        <v>197</v>
      </c>
      <c r="R14" s="17" t="s">
        <v>198</v>
      </c>
      <c r="T14" s="6">
        <v>0.1</v>
      </c>
      <c r="U14" s="6">
        <v>3</v>
      </c>
      <c r="Z14" s="6" t="s">
        <v>207</v>
      </c>
      <c r="AE14" s="6" t="s">
        <v>203</v>
      </c>
      <c r="AF14" s="6" t="s">
        <v>203</v>
      </c>
      <c r="AH14" s="6">
        <v>670</v>
      </c>
      <c r="AJ14" s="6">
        <v>605</v>
      </c>
      <c r="AM14" s="6">
        <v>246</v>
      </c>
      <c r="AN14" s="6">
        <v>127</v>
      </c>
      <c r="AQ14" s="6">
        <f t="shared" si="0"/>
        <v>0.20991735537190082</v>
      </c>
      <c r="AR14" s="6">
        <f t="shared" si="1"/>
        <v>9.56</v>
      </c>
      <c r="AV14" s="6">
        <v>1.69</v>
      </c>
    </row>
    <row r="15" spans="1:85" s="6" customFormat="1">
      <c r="A15" s="6" t="s">
        <v>80</v>
      </c>
      <c r="B15" s="6" t="s">
        <v>205</v>
      </c>
      <c r="C15" s="6" t="s">
        <v>166</v>
      </c>
      <c r="D15" s="4" t="s">
        <v>201</v>
      </c>
      <c r="E15" s="16"/>
      <c r="H15" s="6" t="s">
        <v>206</v>
      </c>
      <c r="J15" s="6" t="s">
        <v>74</v>
      </c>
      <c r="L15" s="4" t="s">
        <v>202</v>
      </c>
      <c r="Q15" s="4" t="s">
        <v>197</v>
      </c>
      <c r="R15" s="17" t="s">
        <v>198</v>
      </c>
      <c r="T15" s="6">
        <v>0.1</v>
      </c>
      <c r="U15" s="6">
        <v>3</v>
      </c>
      <c r="AE15" s="6" t="s">
        <v>203</v>
      </c>
      <c r="AF15" s="6" t="s">
        <v>203</v>
      </c>
      <c r="AJ15" s="6">
        <v>657</v>
      </c>
      <c r="AM15" s="6">
        <v>165</v>
      </c>
      <c r="AN15" s="6">
        <v>166</v>
      </c>
      <c r="AQ15" s="6">
        <f t="shared" si="0"/>
        <v>0.25266362252663621</v>
      </c>
      <c r="AR15" s="6">
        <f t="shared" si="1"/>
        <v>9.82</v>
      </c>
    </row>
    <row r="16" spans="1:85" s="6" customFormat="1">
      <c r="A16" s="6" t="s">
        <v>80</v>
      </c>
      <c r="B16" s="6" t="s">
        <v>175</v>
      </c>
      <c r="C16" s="6" t="s">
        <v>167</v>
      </c>
      <c r="D16" s="4" t="s">
        <v>172</v>
      </c>
      <c r="E16" s="16"/>
      <c r="F16" s="6" t="s">
        <v>196</v>
      </c>
      <c r="H16" s="6" t="s">
        <v>170</v>
      </c>
      <c r="J16" s="6" t="s">
        <v>74</v>
      </c>
      <c r="L16" s="4" t="s">
        <v>171</v>
      </c>
      <c r="P16" s="6" t="s">
        <v>100</v>
      </c>
      <c r="Q16" s="4" t="s">
        <v>212</v>
      </c>
      <c r="R16" s="17" t="s">
        <v>173</v>
      </c>
      <c r="T16" s="6">
        <v>0.3</v>
      </c>
      <c r="U16" s="6">
        <v>2.4</v>
      </c>
      <c r="V16" s="6" t="s">
        <v>176</v>
      </c>
      <c r="X16" s="6" t="s">
        <v>179</v>
      </c>
      <c r="AE16" s="6" t="s">
        <v>174</v>
      </c>
      <c r="AF16" s="6" t="s">
        <v>174</v>
      </c>
      <c r="AJ16" s="6">
        <v>650</v>
      </c>
      <c r="AM16" s="6">
        <v>655</v>
      </c>
      <c r="AP16" s="6" t="s">
        <v>178</v>
      </c>
      <c r="BJ16" s="6">
        <v>80</v>
      </c>
    </row>
    <row r="17" spans="1:66" s="6" customFormat="1">
      <c r="A17" s="6">
        <v>20</v>
      </c>
      <c r="B17" s="6" t="s">
        <v>231</v>
      </c>
      <c r="C17" s="6" t="s">
        <v>166</v>
      </c>
      <c r="D17" s="4" t="s">
        <v>236</v>
      </c>
      <c r="E17" s="16"/>
      <c r="H17" s="6" t="s">
        <v>399</v>
      </c>
      <c r="J17" s="6" t="s">
        <v>74</v>
      </c>
      <c r="L17" s="4" t="s">
        <v>202</v>
      </c>
      <c r="P17" s="6" t="s">
        <v>82</v>
      </c>
      <c r="Q17" s="4" t="s">
        <v>232</v>
      </c>
      <c r="R17" s="6" t="s">
        <v>233</v>
      </c>
      <c r="T17" s="6">
        <v>0.05</v>
      </c>
      <c r="U17" s="6">
        <v>3.5</v>
      </c>
      <c r="X17" s="6" t="s">
        <v>98</v>
      </c>
      <c r="Y17" s="6" t="s">
        <v>235</v>
      </c>
      <c r="AC17" s="6">
        <v>2</v>
      </c>
      <c r="AD17" s="6">
        <v>2</v>
      </c>
      <c r="AE17" s="6" t="s">
        <v>234</v>
      </c>
      <c r="AJ17" s="6">
        <v>719</v>
      </c>
      <c r="AM17" s="6">
        <v>347</v>
      </c>
      <c r="AP17" s="6" t="s">
        <v>178</v>
      </c>
    </row>
    <row r="18" spans="1:66" s="6" customFormat="1">
      <c r="A18" s="6">
        <v>25</v>
      </c>
      <c r="B18" s="6" t="s">
        <v>237</v>
      </c>
      <c r="C18" s="6" t="s">
        <v>166</v>
      </c>
      <c r="D18" s="4" t="s">
        <v>244</v>
      </c>
      <c r="E18" s="16" t="s">
        <v>403</v>
      </c>
      <c r="H18" s="6" t="s">
        <v>72</v>
      </c>
      <c r="J18" s="6" t="s">
        <v>74</v>
      </c>
      <c r="L18" s="4" t="s">
        <v>84</v>
      </c>
      <c r="P18" s="6" t="s">
        <v>82</v>
      </c>
      <c r="Q18" s="4" t="s">
        <v>238</v>
      </c>
      <c r="R18" s="17" t="s">
        <v>239</v>
      </c>
      <c r="T18" s="6">
        <v>0</v>
      </c>
      <c r="U18" s="6">
        <v>3</v>
      </c>
      <c r="AE18" s="6" t="s">
        <v>245</v>
      </c>
      <c r="AF18" s="6" t="s">
        <v>245</v>
      </c>
      <c r="AH18" s="6">
        <v>1058</v>
      </c>
      <c r="AJ18" s="6">
        <v>760</v>
      </c>
      <c r="AM18" s="6">
        <v>101</v>
      </c>
      <c r="AP18" s="6" t="s">
        <v>178</v>
      </c>
      <c r="AS18" s="6">
        <v>0.15</v>
      </c>
      <c r="AT18" s="6">
        <v>0.15</v>
      </c>
      <c r="AU18" s="6">
        <v>1.2</v>
      </c>
      <c r="AV18" s="6">
        <v>1.085</v>
      </c>
    </row>
    <row r="19" spans="1:66" s="6" customFormat="1">
      <c r="A19" s="6">
        <v>25</v>
      </c>
      <c r="B19" s="6" t="s">
        <v>237</v>
      </c>
      <c r="C19" s="6" t="s">
        <v>166</v>
      </c>
      <c r="D19" s="4" t="s">
        <v>244</v>
      </c>
      <c r="E19" s="16" t="s">
        <v>403</v>
      </c>
      <c r="F19" s="6" t="s">
        <v>240</v>
      </c>
      <c r="H19" s="6" t="s">
        <v>72</v>
      </c>
      <c r="J19" s="6" t="s">
        <v>74</v>
      </c>
      <c r="L19" s="4" t="s">
        <v>84</v>
      </c>
      <c r="P19" s="6" t="s">
        <v>82</v>
      </c>
      <c r="Q19" s="4" t="s">
        <v>238</v>
      </c>
      <c r="R19" s="17" t="s">
        <v>239</v>
      </c>
      <c r="T19" s="6">
        <v>0</v>
      </c>
      <c r="U19" s="6">
        <v>3</v>
      </c>
      <c r="AE19" s="6" t="s">
        <v>245</v>
      </c>
      <c r="AF19" s="6" t="s">
        <v>245</v>
      </c>
      <c r="AH19" s="6">
        <v>1058</v>
      </c>
      <c r="AJ19" s="6">
        <v>567</v>
      </c>
      <c r="AM19" s="6">
        <v>106</v>
      </c>
      <c r="AP19" s="6" t="s">
        <v>178</v>
      </c>
      <c r="AS19" s="6">
        <v>0.15</v>
      </c>
      <c r="AU19" s="6">
        <v>1.2</v>
      </c>
      <c r="AV19" s="6">
        <v>1.085</v>
      </c>
    </row>
    <row r="20" spans="1:66" s="6" customFormat="1">
      <c r="A20" s="6">
        <v>25</v>
      </c>
      <c r="B20" s="6" t="s">
        <v>237</v>
      </c>
      <c r="C20" s="6" t="s">
        <v>166</v>
      </c>
      <c r="D20" s="4" t="s">
        <v>244</v>
      </c>
      <c r="E20" s="16" t="s">
        <v>403</v>
      </c>
      <c r="F20" s="6" t="s">
        <v>241</v>
      </c>
      <c r="H20" s="6" t="s">
        <v>72</v>
      </c>
      <c r="J20" s="6" t="s">
        <v>74</v>
      </c>
      <c r="L20" s="4" t="s">
        <v>84</v>
      </c>
      <c r="P20" s="6" t="s">
        <v>82</v>
      </c>
      <c r="Q20" s="4" t="s">
        <v>238</v>
      </c>
      <c r="R20" s="17" t="s">
        <v>239</v>
      </c>
      <c r="T20" s="6">
        <v>0</v>
      </c>
      <c r="U20" s="6">
        <v>3</v>
      </c>
      <c r="AE20" s="6" t="s">
        <v>245</v>
      </c>
      <c r="AF20" s="6" t="s">
        <v>245</v>
      </c>
      <c r="AH20" s="6">
        <v>1058</v>
      </c>
      <c r="AJ20" s="6">
        <v>689</v>
      </c>
      <c r="AM20" s="6">
        <v>129</v>
      </c>
      <c r="AP20" s="6" t="s">
        <v>178</v>
      </c>
      <c r="AS20" s="6">
        <v>0.15</v>
      </c>
      <c r="AU20" s="6">
        <v>1.2</v>
      </c>
      <c r="AV20" s="6">
        <v>1.085</v>
      </c>
    </row>
    <row r="21" spans="1:66" s="6" customFormat="1">
      <c r="A21" s="6">
        <v>25</v>
      </c>
      <c r="B21" s="6" t="s">
        <v>237</v>
      </c>
      <c r="C21" s="6" t="s">
        <v>166</v>
      </c>
      <c r="D21" s="4" t="s">
        <v>244</v>
      </c>
      <c r="E21" s="16" t="s">
        <v>403</v>
      </c>
      <c r="F21" s="6" t="s">
        <v>242</v>
      </c>
      <c r="H21" s="6" t="s">
        <v>72</v>
      </c>
      <c r="J21" s="6" t="s">
        <v>74</v>
      </c>
      <c r="L21" s="4" t="s">
        <v>84</v>
      </c>
      <c r="P21" s="6" t="s">
        <v>82</v>
      </c>
      <c r="Q21" s="4" t="s">
        <v>238</v>
      </c>
      <c r="R21" s="17" t="s">
        <v>239</v>
      </c>
      <c r="T21" s="6">
        <v>0</v>
      </c>
      <c r="U21" s="6">
        <v>3</v>
      </c>
      <c r="AE21" s="6" t="s">
        <v>245</v>
      </c>
      <c r="AF21" s="6" t="s">
        <v>245</v>
      </c>
      <c r="AH21" s="6">
        <v>1058</v>
      </c>
      <c r="AJ21" s="6">
        <v>700</v>
      </c>
      <c r="AM21" s="6">
        <v>536</v>
      </c>
      <c r="AP21" s="6" t="s">
        <v>178</v>
      </c>
      <c r="AS21" s="6">
        <v>0.15</v>
      </c>
      <c r="AU21" s="6">
        <v>1.2</v>
      </c>
      <c r="AV21" s="6">
        <v>1.085</v>
      </c>
    </row>
    <row r="22" spans="1:66" s="6" customFormat="1">
      <c r="A22" s="6">
        <v>25</v>
      </c>
      <c r="B22" s="6" t="s">
        <v>237</v>
      </c>
      <c r="C22" s="6" t="s">
        <v>166</v>
      </c>
      <c r="D22" s="4" t="s">
        <v>244</v>
      </c>
      <c r="E22" s="16" t="s">
        <v>403</v>
      </c>
      <c r="F22" s="6" t="s">
        <v>243</v>
      </c>
      <c r="H22" s="6" t="s">
        <v>72</v>
      </c>
      <c r="J22" s="6" t="s">
        <v>74</v>
      </c>
      <c r="L22" s="4" t="s">
        <v>84</v>
      </c>
      <c r="P22" s="6" t="s">
        <v>82</v>
      </c>
      <c r="Q22" s="4" t="s">
        <v>238</v>
      </c>
      <c r="R22" s="17" t="s">
        <v>239</v>
      </c>
      <c r="T22" s="6">
        <v>0</v>
      </c>
      <c r="U22" s="6">
        <v>3</v>
      </c>
      <c r="AE22" s="6" t="s">
        <v>245</v>
      </c>
      <c r="AF22" s="6" t="s">
        <v>245</v>
      </c>
      <c r="AH22" s="6">
        <v>1058</v>
      </c>
      <c r="AJ22" s="6">
        <v>605</v>
      </c>
      <c r="AM22" s="6">
        <v>650</v>
      </c>
      <c r="AP22" s="6" t="s">
        <v>178</v>
      </c>
      <c r="AS22" s="6">
        <v>0.15</v>
      </c>
      <c r="AU22" s="6">
        <v>1.2</v>
      </c>
      <c r="AV22" s="6">
        <v>1.085</v>
      </c>
    </row>
    <row r="23" spans="1:66">
      <c r="A23" t="s">
        <v>80</v>
      </c>
      <c r="B23" t="s">
        <v>83</v>
      </c>
      <c r="C23" t="s">
        <v>166</v>
      </c>
      <c r="D23" s="10" t="s">
        <v>115</v>
      </c>
      <c r="E23" s="11" t="s">
        <v>403</v>
      </c>
      <c r="F23" t="s">
        <v>90</v>
      </c>
      <c r="H23" t="s">
        <v>399</v>
      </c>
      <c r="J23" t="s">
        <v>74</v>
      </c>
      <c r="L23" s="1" t="s">
        <v>84</v>
      </c>
      <c r="P23" t="s">
        <v>87</v>
      </c>
      <c r="Q23" s="1" t="s">
        <v>86</v>
      </c>
      <c r="R23" t="s">
        <v>93</v>
      </c>
      <c r="T23">
        <v>0</v>
      </c>
      <c r="U23">
        <v>3</v>
      </c>
      <c r="V23">
        <v>0.375</v>
      </c>
      <c r="Y23" t="s">
        <v>85</v>
      </c>
      <c r="Z23" s="1" t="s">
        <v>89</v>
      </c>
      <c r="AA23" s="1" t="s">
        <v>88</v>
      </c>
      <c r="AB23" s="1"/>
      <c r="AC23">
        <v>0.8</v>
      </c>
      <c r="AD23">
        <v>0.8</v>
      </c>
      <c r="AE23">
        <v>50</v>
      </c>
      <c r="AF23">
        <v>50</v>
      </c>
      <c r="AH23">
        <v>612</v>
      </c>
      <c r="AI23">
        <v>1327</v>
      </c>
      <c r="AJ23">
        <v>1327</v>
      </c>
      <c r="AM23">
        <v>587.1</v>
      </c>
      <c r="AP23" t="s">
        <v>76</v>
      </c>
      <c r="AS23" s="13">
        <v>0.7</v>
      </c>
      <c r="AU23" s="13">
        <v>1.2</v>
      </c>
      <c r="AV23">
        <v>1.1439999999999999</v>
      </c>
    </row>
    <row r="24" spans="1:66">
      <c r="A24" t="s">
        <v>80</v>
      </c>
      <c r="B24" t="s">
        <v>83</v>
      </c>
      <c r="C24" t="s">
        <v>166</v>
      </c>
      <c r="D24" s="10" t="s">
        <v>115</v>
      </c>
      <c r="E24" s="11" t="s">
        <v>403</v>
      </c>
      <c r="F24" t="s">
        <v>91</v>
      </c>
      <c r="H24" t="s">
        <v>399</v>
      </c>
      <c r="J24" t="s">
        <v>74</v>
      </c>
      <c r="L24" s="1" t="s">
        <v>84</v>
      </c>
      <c r="P24" t="s">
        <v>87</v>
      </c>
      <c r="Q24" s="1" t="s">
        <v>86</v>
      </c>
      <c r="R24" t="s">
        <v>93</v>
      </c>
      <c r="T24">
        <v>0</v>
      </c>
      <c r="U24">
        <v>3</v>
      </c>
      <c r="V24">
        <v>0.7</v>
      </c>
      <c r="Y24" t="s">
        <v>85</v>
      </c>
      <c r="Z24" s="1" t="s">
        <v>89</v>
      </c>
      <c r="AA24" s="1" t="s">
        <v>88</v>
      </c>
      <c r="AB24" s="1"/>
      <c r="AC24">
        <v>0.8</v>
      </c>
      <c r="AD24">
        <v>0.8</v>
      </c>
      <c r="AE24">
        <v>50</v>
      </c>
      <c r="AF24">
        <v>50</v>
      </c>
      <c r="AH24">
        <v>612</v>
      </c>
      <c r="AI24">
        <v>1001</v>
      </c>
      <c r="AJ24">
        <v>1001</v>
      </c>
      <c r="AM24">
        <v>578.4</v>
      </c>
      <c r="AP24" t="s">
        <v>76</v>
      </c>
      <c r="AS24" s="13">
        <v>0.7</v>
      </c>
      <c r="AU24" s="13">
        <v>1.2</v>
      </c>
      <c r="AV24">
        <v>1.1439999999999999</v>
      </c>
    </row>
    <row r="25" spans="1:66">
      <c r="A25" t="s">
        <v>80</v>
      </c>
      <c r="B25" t="s">
        <v>83</v>
      </c>
      <c r="C25" t="s">
        <v>166</v>
      </c>
      <c r="D25" s="10" t="s">
        <v>115</v>
      </c>
      <c r="E25" s="11" t="s">
        <v>403</v>
      </c>
      <c r="F25" t="s">
        <v>92</v>
      </c>
      <c r="H25" s="5" t="s">
        <v>399</v>
      </c>
      <c r="J25" t="s">
        <v>75</v>
      </c>
      <c r="L25" s="1" t="s">
        <v>84</v>
      </c>
      <c r="P25" t="s">
        <v>87</v>
      </c>
      <c r="Q25" s="1" t="s">
        <v>86</v>
      </c>
      <c r="R25" t="s">
        <v>93</v>
      </c>
      <c r="T25">
        <v>0</v>
      </c>
      <c r="U25">
        <v>3</v>
      </c>
      <c r="V25">
        <v>0.6</v>
      </c>
      <c r="Y25" t="s">
        <v>85</v>
      </c>
      <c r="Z25" s="1" t="s">
        <v>89</v>
      </c>
      <c r="AA25" s="1" t="s">
        <v>88</v>
      </c>
      <c r="AB25" s="1"/>
      <c r="AC25">
        <v>0.8</v>
      </c>
      <c r="AD25">
        <v>0.8</v>
      </c>
      <c r="AE25">
        <v>50</v>
      </c>
      <c r="AF25">
        <v>50</v>
      </c>
      <c r="AH25">
        <v>612</v>
      </c>
      <c r="AI25">
        <v>900.2</v>
      </c>
      <c r="AJ25">
        <v>900.2</v>
      </c>
      <c r="AM25">
        <v>339.6</v>
      </c>
      <c r="AP25" t="s">
        <v>76</v>
      </c>
      <c r="AS25" s="13">
        <v>0.7</v>
      </c>
      <c r="AU25" s="13">
        <v>1.2</v>
      </c>
      <c r="AV25">
        <v>1.1439999999999999</v>
      </c>
    </row>
    <row r="26" spans="1:66">
      <c r="A26" t="s">
        <v>80</v>
      </c>
      <c r="B26" t="s">
        <v>94</v>
      </c>
      <c r="C26" t="s">
        <v>167</v>
      </c>
      <c r="D26" s="1" t="s">
        <v>97</v>
      </c>
      <c r="E26" s="11" t="s">
        <v>403</v>
      </c>
      <c r="F26" t="s">
        <v>99</v>
      </c>
      <c r="H26" t="s">
        <v>103</v>
      </c>
      <c r="J26" t="s">
        <v>74</v>
      </c>
      <c r="L26" s="1" t="s">
        <v>132</v>
      </c>
      <c r="P26" t="s">
        <v>100</v>
      </c>
      <c r="Q26" s="1" t="s">
        <v>101</v>
      </c>
      <c r="R26" t="s">
        <v>102</v>
      </c>
      <c r="T26">
        <v>1.2</v>
      </c>
      <c r="U26">
        <v>2.6</v>
      </c>
      <c r="V26" t="s">
        <v>446</v>
      </c>
      <c r="X26" t="s">
        <v>98</v>
      </c>
      <c r="Y26" t="s">
        <v>85</v>
      </c>
      <c r="AC26">
        <v>0.1</v>
      </c>
      <c r="AD26">
        <v>0.1</v>
      </c>
      <c r="AE26">
        <f>AC26*AH26</f>
        <v>85</v>
      </c>
      <c r="AF26">
        <f>AD26*AH26</f>
        <v>85</v>
      </c>
      <c r="AH26">
        <v>850</v>
      </c>
      <c r="AI26">
        <v>772</v>
      </c>
      <c r="AJ26">
        <v>772</v>
      </c>
      <c r="AM26">
        <v>313</v>
      </c>
      <c r="AS26" s="13">
        <v>1.5</v>
      </c>
      <c r="AT26" s="13">
        <v>1.8</v>
      </c>
      <c r="AV26">
        <v>1.861</v>
      </c>
    </row>
    <row r="27" spans="1:66">
      <c r="A27" t="s">
        <v>80</v>
      </c>
      <c r="B27" t="s">
        <v>94</v>
      </c>
      <c r="C27" t="s">
        <v>167</v>
      </c>
      <c r="D27" s="1" t="s">
        <v>97</v>
      </c>
      <c r="E27" s="11" t="s">
        <v>403</v>
      </c>
      <c r="F27" t="s">
        <v>99</v>
      </c>
      <c r="H27" t="s">
        <v>103</v>
      </c>
      <c r="J27" t="s">
        <v>74</v>
      </c>
      <c r="L27" s="1" t="s">
        <v>96</v>
      </c>
      <c r="P27" t="s">
        <v>100</v>
      </c>
      <c r="Q27" s="1" t="s">
        <v>101</v>
      </c>
      <c r="R27" t="s">
        <v>102</v>
      </c>
      <c r="T27">
        <v>1.2</v>
      </c>
      <c r="U27">
        <v>2.6</v>
      </c>
      <c r="V27" t="s">
        <v>446</v>
      </c>
      <c r="X27" t="s">
        <v>98</v>
      </c>
      <c r="Y27" t="s">
        <v>85</v>
      </c>
      <c r="AC27">
        <v>0.1</v>
      </c>
      <c r="AD27">
        <v>0.1</v>
      </c>
      <c r="AE27">
        <f>AC27*AH27</f>
        <v>85</v>
      </c>
      <c r="AF27">
        <f>AD27*AH27</f>
        <v>85</v>
      </c>
      <c r="AH27">
        <v>850</v>
      </c>
      <c r="AI27">
        <v>542</v>
      </c>
      <c r="AJ27">
        <v>542</v>
      </c>
      <c r="AM27">
        <v>298</v>
      </c>
      <c r="AS27" s="13">
        <v>1.5</v>
      </c>
      <c r="AT27" s="13">
        <v>1.8</v>
      </c>
      <c r="AV27">
        <v>1.861</v>
      </c>
      <c r="BN27">
        <v>2.7</v>
      </c>
    </row>
    <row r="28" spans="1:66">
      <c r="A28" t="s">
        <v>80</v>
      </c>
      <c r="B28" t="s">
        <v>94</v>
      </c>
      <c r="C28" t="s">
        <v>167</v>
      </c>
      <c r="D28" s="1" t="s">
        <v>97</v>
      </c>
      <c r="E28" s="11" t="s">
        <v>403</v>
      </c>
      <c r="F28" t="s">
        <v>99</v>
      </c>
      <c r="H28" t="s">
        <v>103</v>
      </c>
      <c r="J28" t="s">
        <v>74</v>
      </c>
      <c r="L28" s="1" t="s">
        <v>95</v>
      </c>
      <c r="P28" t="s">
        <v>100</v>
      </c>
      <c r="Q28" s="1" t="s">
        <v>101</v>
      </c>
      <c r="R28" t="s">
        <v>102</v>
      </c>
      <c r="T28">
        <v>1.2</v>
      </c>
      <c r="U28">
        <v>2.6</v>
      </c>
      <c r="V28" t="s">
        <v>446</v>
      </c>
      <c r="X28" t="s">
        <v>98</v>
      </c>
      <c r="Y28" t="s">
        <v>85</v>
      </c>
      <c r="AC28">
        <v>0.1</v>
      </c>
      <c r="AD28">
        <v>0.1</v>
      </c>
      <c r="AE28">
        <f>AC28*AH28</f>
        <v>85</v>
      </c>
      <c r="AF28">
        <f>AD28*AH28</f>
        <v>85</v>
      </c>
      <c r="AH28">
        <v>850</v>
      </c>
      <c r="AI28">
        <v>482</v>
      </c>
      <c r="AJ28">
        <v>482</v>
      </c>
      <c r="AM28">
        <v>254</v>
      </c>
      <c r="AS28" s="13">
        <v>1.5</v>
      </c>
      <c r="AT28" s="13">
        <v>1.8</v>
      </c>
      <c r="AV28">
        <v>1.861</v>
      </c>
    </row>
    <row r="29" spans="1:66">
      <c r="A29" t="s">
        <v>80</v>
      </c>
      <c r="B29" t="s">
        <v>94</v>
      </c>
      <c r="C29" t="s">
        <v>167</v>
      </c>
      <c r="D29" s="1" t="s">
        <v>97</v>
      </c>
      <c r="E29" s="11" t="s">
        <v>403</v>
      </c>
      <c r="F29" t="s">
        <v>99</v>
      </c>
      <c r="H29" t="s">
        <v>103</v>
      </c>
      <c r="J29" t="s">
        <v>74</v>
      </c>
      <c r="L29" s="1" t="s">
        <v>84</v>
      </c>
      <c r="P29" t="s">
        <v>100</v>
      </c>
      <c r="Q29" s="1" t="s">
        <v>101</v>
      </c>
      <c r="R29" t="s">
        <v>102</v>
      </c>
      <c r="T29">
        <v>1.2</v>
      </c>
      <c r="U29">
        <v>2.6</v>
      </c>
      <c r="V29" t="s">
        <v>446</v>
      </c>
      <c r="X29" t="s">
        <v>98</v>
      </c>
      <c r="Y29" t="s">
        <v>85</v>
      </c>
      <c r="AC29">
        <v>0.1</v>
      </c>
      <c r="AD29">
        <v>0.1</v>
      </c>
      <c r="AE29">
        <f>AC29*AH29</f>
        <v>85</v>
      </c>
      <c r="AF29">
        <f>AD29*AH29</f>
        <v>85</v>
      </c>
      <c r="AH29">
        <v>850</v>
      </c>
      <c r="AI29">
        <v>640</v>
      </c>
      <c r="AJ29">
        <v>640</v>
      </c>
      <c r="AM29">
        <v>182</v>
      </c>
      <c r="AS29" s="13">
        <v>1.5</v>
      </c>
      <c r="AT29" s="13">
        <v>1.8</v>
      </c>
      <c r="AV29">
        <v>1.861</v>
      </c>
      <c r="AW29" t="s">
        <v>496</v>
      </c>
    </row>
    <row r="30" spans="1:66">
      <c r="A30" t="s">
        <v>80</v>
      </c>
      <c r="B30" t="s">
        <v>110</v>
      </c>
      <c r="C30" t="s">
        <v>166</v>
      </c>
      <c r="D30" s="1" t="s">
        <v>115</v>
      </c>
      <c r="E30" s="11" t="s">
        <v>403</v>
      </c>
      <c r="H30" t="s">
        <v>111</v>
      </c>
      <c r="J30" t="s">
        <v>74</v>
      </c>
      <c r="L30" s="1" t="s">
        <v>84</v>
      </c>
      <c r="P30" t="s">
        <v>82</v>
      </c>
      <c r="Q30" s="1" t="s">
        <v>116</v>
      </c>
      <c r="R30" t="s">
        <v>121</v>
      </c>
      <c r="T30">
        <v>0.2</v>
      </c>
      <c r="U30">
        <v>3</v>
      </c>
      <c r="V30">
        <v>30</v>
      </c>
      <c r="W30">
        <v>0.3</v>
      </c>
      <c r="X30" t="s">
        <v>114</v>
      </c>
      <c r="Y30" t="s">
        <v>85</v>
      </c>
      <c r="Z30" t="s">
        <v>112</v>
      </c>
      <c r="AA30" t="s">
        <v>113</v>
      </c>
      <c r="AC30">
        <v>0.6</v>
      </c>
      <c r="AD30">
        <v>0.6</v>
      </c>
      <c r="AE30">
        <v>50</v>
      </c>
      <c r="AF30">
        <v>50</v>
      </c>
      <c r="AH30">
        <v>871</v>
      </c>
      <c r="AI30">
        <v>830</v>
      </c>
      <c r="AJ30">
        <v>830</v>
      </c>
      <c r="AM30">
        <v>50</v>
      </c>
      <c r="AN30">
        <v>45</v>
      </c>
      <c r="AQ30">
        <f>AN30/AJ30</f>
        <v>5.4216867469879519E-2</v>
      </c>
      <c r="AR30">
        <f>(AJ30-AN30)/50</f>
        <v>15.7</v>
      </c>
      <c r="AV30">
        <v>1.89</v>
      </c>
    </row>
    <row r="31" spans="1:66">
      <c r="A31" t="s">
        <v>80</v>
      </c>
      <c r="B31" t="s">
        <v>110</v>
      </c>
      <c r="C31" t="s">
        <v>166</v>
      </c>
      <c r="D31" s="1" t="s">
        <v>117</v>
      </c>
      <c r="E31" s="11" t="s">
        <v>403</v>
      </c>
      <c r="H31" t="s">
        <v>111</v>
      </c>
      <c r="J31" t="s">
        <v>120</v>
      </c>
      <c r="L31" s="1" t="s">
        <v>84</v>
      </c>
      <c r="P31" t="s">
        <v>82</v>
      </c>
      <c r="Q31" s="1" t="s">
        <v>116</v>
      </c>
      <c r="R31" t="s">
        <v>121</v>
      </c>
      <c r="T31">
        <v>0.2</v>
      </c>
      <c r="U31">
        <v>3</v>
      </c>
      <c r="V31">
        <v>30</v>
      </c>
      <c r="W31">
        <v>0.3</v>
      </c>
      <c r="X31" t="s">
        <v>114</v>
      </c>
      <c r="Y31" t="s">
        <v>85</v>
      </c>
      <c r="Z31" t="s">
        <v>112</v>
      </c>
      <c r="AA31" t="s">
        <v>113</v>
      </c>
      <c r="AC31">
        <v>0.6</v>
      </c>
      <c r="AD31">
        <v>0.6</v>
      </c>
      <c r="AE31">
        <v>50</v>
      </c>
      <c r="AF31">
        <v>50</v>
      </c>
      <c r="AH31">
        <v>871</v>
      </c>
      <c r="AI31">
        <v>740</v>
      </c>
      <c r="AJ31">
        <v>740</v>
      </c>
      <c r="AM31">
        <v>105</v>
      </c>
      <c r="AN31">
        <v>95</v>
      </c>
      <c r="AQ31">
        <f>AN31/AJ31</f>
        <v>0.12837837837837837</v>
      </c>
      <c r="AR31">
        <f>(AJ31-AN31)/50</f>
        <v>12.9</v>
      </c>
      <c r="AV31">
        <v>1.89</v>
      </c>
    </row>
    <row r="32" spans="1:66">
      <c r="A32" t="s">
        <v>80</v>
      </c>
      <c r="B32" t="s">
        <v>110</v>
      </c>
      <c r="C32" t="s">
        <v>166</v>
      </c>
      <c r="D32" s="1" t="s">
        <v>118</v>
      </c>
      <c r="E32" s="11" t="s">
        <v>403</v>
      </c>
      <c r="H32" t="s">
        <v>111</v>
      </c>
      <c r="J32" t="s">
        <v>74</v>
      </c>
      <c r="L32" s="1" t="s">
        <v>84</v>
      </c>
      <c r="P32" t="s">
        <v>82</v>
      </c>
      <c r="Q32" s="1" t="s">
        <v>116</v>
      </c>
      <c r="R32" t="s">
        <v>121</v>
      </c>
      <c r="T32">
        <v>0.2</v>
      </c>
      <c r="U32">
        <v>3</v>
      </c>
      <c r="V32">
        <v>30</v>
      </c>
      <c r="W32">
        <v>0.3</v>
      </c>
      <c r="X32" t="s">
        <v>114</v>
      </c>
      <c r="Y32" t="s">
        <v>85</v>
      </c>
      <c r="Z32" t="s">
        <v>112</v>
      </c>
      <c r="AA32" t="s">
        <v>113</v>
      </c>
      <c r="AC32">
        <v>0.6</v>
      </c>
      <c r="AD32">
        <v>0.6</v>
      </c>
      <c r="AE32">
        <v>50</v>
      </c>
      <c r="AF32">
        <v>50</v>
      </c>
      <c r="AH32">
        <v>871</v>
      </c>
      <c r="AI32">
        <v>1280</v>
      </c>
      <c r="AJ32">
        <v>1280</v>
      </c>
      <c r="AM32">
        <v>316</v>
      </c>
      <c r="AN32">
        <v>330</v>
      </c>
      <c r="AQ32">
        <f>AN32/AJ32</f>
        <v>0.2578125</v>
      </c>
      <c r="AR32">
        <f>(AJ32-AN32)/50</f>
        <v>19</v>
      </c>
      <c r="AS32">
        <v>1.8</v>
      </c>
      <c r="AT32" s="13">
        <v>1.4</v>
      </c>
      <c r="AU32" t="s">
        <v>447</v>
      </c>
      <c r="AV32">
        <v>1.89</v>
      </c>
      <c r="AW32" t="s">
        <v>497</v>
      </c>
    </row>
    <row r="33" spans="1:57">
      <c r="A33" t="s">
        <v>80</v>
      </c>
      <c r="B33" t="s">
        <v>110</v>
      </c>
      <c r="C33" t="s">
        <v>166</v>
      </c>
      <c r="D33" s="1" t="s">
        <v>119</v>
      </c>
      <c r="E33" s="11" t="s">
        <v>403</v>
      </c>
      <c r="H33" t="s">
        <v>111</v>
      </c>
      <c r="J33" t="s">
        <v>74</v>
      </c>
      <c r="L33" s="1" t="s">
        <v>84</v>
      </c>
      <c r="P33" t="s">
        <v>82</v>
      </c>
      <c r="Q33" s="1" t="s">
        <v>116</v>
      </c>
      <c r="R33" t="s">
        <v>121</v>
      </c>
      <c r="T33">
        <v>0.2</v>
      </c>
      <c r="U33">
        <v>3</v>
      </c>
      <c r="V33">
        <v>30</v>
      </c>
      <c r="W33">
        <v>0.3</v>
      </c>
      <c r="X33" t="s">
        <v>114</v>
      </c>
      <c r="Y33" t="s">
        <v>85</v>
      </c>
      <c r="Z33" t="s">
        <v>112</v>
      </c>
      <c r="AA33" t="s">
        <v>113</v>
      </c>
      <c r="AC33">
        <v>0.6</v>
      </c>
      <c r="AD33">
        <v>0.6</v>
      </c>
      <c r="AE33">
        <v>50</v>
      </c>
      <c r="AF33">
        <v>50</v>
      </c>
      <c r="AH33">
        <v>871</v>
      </c>
      <c r="AI33">
        <v>1225</v>
      </c>
      <c r="AJ33">
        <v>1225</v>
      </c>
      <c r="AM33">
        <v>155</v>
      </c>
      <c r="AN33">
        <v>150</v>
      </c>
      <c r="AQ33">
        <f>AN33/AJ33</f>
        <v>0.12244897959183673</v>
      </c>
      <c r="AR33">
        <f>(AJ33-AN33)/50</f>
        <v>21.5</v>
      </c>
      <c r="AV33">
        <v>1.89</v>
      </c>
    </row>
    <row r="34" spans="1:57">
      <c r="A34" t="s">
        <v>80</v>
      </c>
      <c r="B34" t="s">
        <v>110</v>
      </c>
      <c r="C34" t="s">
        <v>166</v>
      </c>
      <c r="D34" s="1" t="s">
        <v>118</v>
      </c>
      <c r="E34" s="11" t="s">
        <v>403</v>
      </c>
      <c r="H34" t="s">
        <v>111</v>
      </c>
      <c r="J34" t="s">
        <v>74</v>
      </c>
      <c r="L34" s="1" t="s">
        <v>84</v>
      </c>
      <c r="P34" t="s">
        <v>168</v>
      </c>
      <c r="Q34" s="1" t="s">
        <v>116</v>
      </c>
      <c r="R34" t="s">
        <v>121</v>
      </c>
      <c r="T34">
        <v>1.6</v>
      </c>
      <c r="U34">
        <v>3</v>
      </c>
      <c r="V34">
        <v>30</v>
      </c>
      <c r="W34">
        <v>0.3</v>
      </c>
      <c r="X34" t="s">
        <v>114</v>
      </c>
      <c r="Y34" t="s">
        <v>85</v>
      </c>
      <c r="Z34" t="s">
        <v>112</v>
      </c>
      <c r="AA34" t="s">
        <v>113</v>
      </c>
      <c r="AE34">
        <v>50</v>
      </c>
      <c r="AF34">
        <v>50</v>
      </c>
      <c r="AJ34">
        <v>375</v>
      </c>
      <c r="AM34">
        <v>195</v>
      </c>
      <c r="AP34" t="s">
        <v>76</v>
      </c>
      <c r="AS34">
        <v>1.6</v>
      </c>
      <c r="AT34">
        <v>1.9</v>
      </c>
      <c r="AU34">
        <v>2.2999999999999998</v>
      </c>
      <c r="AV34">
        <v>1.89</v>
      </c>
    </row>
    <row r="35" spans="1:57" s="6" customFormat="1">
      <c r="A35" s="6" t="s">
        <v>80</v>
      </c>
      <c r="B35" s="6" t="s">
        <v>130</v>
      </c>
      <c r="C35" s="6" t="s">
        <v>166</v>
      </c>
      <c r="D35" s="4" t="s">
        <v>129</v>
      </c>
      <c r="E35" s="16" t="s">
        <v>403</v>
      </c>
      <c r="H35" s="6" t="s">
        <v>73</v>
      </c>
      <c r="J35" s="6" t="s">
        <v>74</v>
      </c>
      <c r="L35" s="4" t="s">
        <v>128</v>
      </c>
      <c r="P35" s="6" t="s">
        <v>82</v>
      </c>
      <c r="Q35" s="4" t="s">
        <v>211</v>
      </c>
      <c r="R35" s="6" t="s">
        <v>131</v>
      </c>
      <c r="T35" s="6">
        <v>0</v>
      </c>
      <c r="U35" s="6">
        <v>3</v>
      </c>
      <c r="X35" s="6" t="s">
        <v>169</v>
      </c>
      <c r="Z35" s="6" t="s">
        <v>135</v>
      </c>
      <c r="AA35" s="6" t="s">
        <v>136</v>
      </c>
      <c r="AC35" s="6">
        <v>8.3000000000000004E-2</v>
      </c>
      <c r="AD35" s="6">
        <v>8.3000000000000004E-2</v>
      </c>
      <c r="AE35" s="6">
        <v>49</v>
      </c>
      <c r="AF35" s="6">
        <v>49</v>
      </c>
      <c r="AH35" s="6">
        <v>545</v>
      </c>
      <c r="AM35" s="6">
        <v>292</v>
      </c>
      <c r="AP35" s="6" t="s">
        <v>76</v>
      </c>
      <c r="AV35" s="6">
        <v>1.7270000000000001</v>
      </c>
    </row>
    <row r="36" spans="1:57" s="6" customFormat="1">
      <c r="A36" s="6" t="s">
        <v>80</v>
      </c>
      <c r="B36" s="6" t="s">
        <v>448</v>
      </c>
      <c r="C36" s="6" t="s">
        <v>166</v>
      </c>
      <c r="D36" s="4" t="s">
        <v>129</v>
      </c>
      <c r="E36" s="16" t="s">
        <v>403</v>
      </c>
      <c r="F36" s="6" t="s">
        <v>134</v>
      </c>
      <c r="H36" s="6" t="s">
        <v>127</v>
      </c>
      <c r="J36" s="6" t="s">
        <v>74</v>
      </c>
      <c r="L36" s="4" t="s">
        <v>128</v>
      </c>
      <c r="P36" s="6" t="s">
        <v>82</v>
      </c>
      <c r="Q36" s="6" t="s">
        <v>211</v>
      </c>
      <c r="R36" s="6" t="s">
        <v>131</v>
      </c>
      <c r="T36" s="6">
        <v>0</v>
      </c>
      <c r="U36" s="6">
        <v>3</v>
      </c>
      <c r="V36" s="6">
        <v>5.0000000000000001E-3</v>
      </c>
      <c r="W36" s="6">
        <v>39.5</v>
      </c>
      <c r="X36" s="6" t="s">
        <v>169</v>
      </c>
      <c r="AC36" s="6">
        <v>8.3000000000000004E-2</v>
      </c>
      <c r="AD36" s="6">
        <v>8.3000000000000004E-2</v>
      </c>
      <c r="AE36" s="6">
        <v>49</v>
      </c>
      <c r="AF36" s="6">
        <v>49</v>
      </c>
      <c r="AH36" s="6">
        <v>545</v>
      </c>
      <c r="AM36" s="6">
        <v>647</v>
      </c>
      <c r="AP36" s="6" t="s">
        <v>76</v>
      </c>
    </row>
    <row r="37" spans="1:57" s="18" customFormat="1">
      <c r="A37" s="18" t="s">
        <v>80</v>
      </c>
      <c r="B37" s="18" t="s">
        <v>141</v>
      </c>
      <c r="C37" s="18" t="s">
        <v>166</v>
      </c>
      <c r="D37" s="19" t="s">
        <v>144</v>
      </c>
      <c r="E37" s="20"/>
      <c r="H37" s="18" t="s">
        <v>73</v>
      </c>
      <c r="J37" s="18" t="s">
        <v>74</v>
      </c>
      <c r="L37" s="19" t="s">
        <v>84</v>
      </c>
      <c r="P37" s="18" t="s">
        <v>82</v>
      </c>
      <c r="Q37" s="19" t="s">
        <v>137</v>
      </c>
      <c r="R37" s="21" t="s">
        <v>138</v>
      </c>
      <c r="T37" s="18">
        <v>0</v>
      </c>
      <c r="U37" s="18">
        <v>2.5</v>
      </c>
      <c r="X37" s="18" t="s">
        <v>145</v>
      </c>
      <c r="AJ37" s="18">
        <v>333</v>
      </c>
    </row>
    <row r="38" spans="1:57" s="18" customFormat="1">
      <c r="A38" s="18" t="s">
        <v>80</v>
      </c>
      <c r="B38" s="18" t="s">
        <v>142</v>
      </c>
      <c r="C38" s="18" t="s">
        <v>166</v>
      </c>
      <c r="D38" s="19" t="s">
        <v>144</v>
      </c>
      <c r="E38" s="20"/>
      <c r="H38" s="18" t="s">
        <v>73</v>
      </c>
      <c r="J38" s="18" t="s">
        <v>74</v>
      </c>
      <c r="L38" s="19" t="s">
        <v>84</v>
      </c>
      <c r="P38" s="18" t="s">
        <v>82</v>
      </c>
      <c r="Q38" s="19" t="s">
        <v>137</v>
      </c>
      <c r="R38" s="21" t="s">
        <v>138</v>
      </c>
      <c r="T38" s="18">
        <v>0</v>
      </c>
      <c r="U38" s="18">
        <v>2.5</v>
      </c>
      <c r="X38" s="18" t="s">
        <v>145</v>
      </c>
      <c r="AJ38" s="18">
        <v>907</v>
      </c>
    </row>
    <row r="39" spans="1:57" s="18" customFormat="1">
      <c r="A39" s="18" t="s">
        <v>80</v>
      </c>
      <c r="B39" s="18" t="s">
        <v>139</v>
      </c>
      <c r="C39" s="18" t="s">
        <v>166</v>
      </c>
      <c r="D39" s="19" t="s">
        <v>144</v>
      </c>
      <c r="E39" s="20"/>
      <c r="H39" s="18" t="s">
        <v>73</v>
      </c>
      <c r="J39" s="18" t="s">
        <v>74</v>
      </c>
      <c r="L39" s="19" t="s">
        <v>84</v>
      </c>
      <c r="P39" s="18" t="s">
        <v>82</v>
      </c>
      <c r="Q39" s="19" t="s">
        <v>137</v>
      </c>
      <c r="R39" s="21" t="s">
        <v>138</v>
      </c>
      <c r="T39" s="18">
        <v>0.5</v>
      </c>
      <c r="U39" s="18">
        <v>2.5</v>
      </c>
      <c r="X39" s="18" t="s">
        <v>145</v>
      </c>
      <c r="AJ39" s="18">
        <v>632</v>
      </c>
    </row>
    <row r="40" spans="1:57" s="18" customFormat="1">
      <c r="A40" s="18" t="s">
        <v>80</v>
      </c>
      <c r="B40" s="18" t="s">
        <v>140</v>
      </c>
      <c r="C40" s="18" t="s">
        <v>166</v>
      </c>
      <c r="D40" s="19" t="s">
        <v>144</v>
      </c>
      <c r="E40" s="20"/>
      <c r="H40" s="18" t="s">
        <v>73</v>
      </c>
      <c r="J40" s="18" t="s">
        <v>74</v>
      </c>
      <c r="L40" s="19" t="s">
        <v>84</v>
      </c>
      <c r="P40" s="18" t="s">
        <v>82</v>
      </c>
      <c r="Q40" s="19" t="s">
        <v>137</v>
      </c>
      <c r="R40" s="21" t="s">
        <v>138</v>
      </c>
      <c r="T40" s="18">
        <v>1</v>
      </c>
      <c r="U40" s="18">
        <v>2.5</v>
      </c>
      <c r="X40" s="18" t="s">
        <v>145</v>
      </c>
      <c r="AH40" s="18">
        <v>610</v>
      </c>
      <c r="AJ40" s="18">
        <v>585</v>
      </c>
    </row>
    <row r="41" spans="1:57" s="18" customFormat="1">
      <c r="A41" s="18" t="s">
        <v>80</v>
      </c>
      <c r="B41" s="18" t="s">
        <v>146</v>
      </c>
      <c r="C41" s="18" t="s">
        <v>166</v>
      </c>
      <c r="D41" s="19" t="s">
        <v>144</v>
      </c>
      <c r="E41" s="20"/>
      <c r="H41" s="18" t="s">
        <v>73</v>
      </c>
      <c r="J41" s="18" t="s">
        <v>74</v>
      </c>
      <c r="L41" s="19" t="s">
        <v>84</v>
      </c>
      <c r="P41" s="18" t="s">
        <v>82</v>
      </c>
      <c r="Q41" s="19" t="s">
        <v>137</v>
      </c>
      <c r="R41" s="21" t="s">
        <v>138</v>
      </c>
      <c r="T41" s="18">
        <v>1</v>
      </c>
      <c r="U41" s="18">
        <v>2.5</v>
      </c>
      <c r="X41" s="18" t="s">
        <v>145</v>
      </c>
      <c r="AJ41" s="18">
        <v>544</v>
      </c>
    </row>
    <row r="42" spans="1:57">
      <c r="A42" t="s">
        <v>80</v>
      </c>
      <c r="B42" t="s">
        <v>158</v>
      </c>
      <c r="C42" t="s">
        <v>166</v>
      </c>
      <c r="D42" s="1" t="s">
        <v>162</v>
      </c>
      <c r="H42" t="s">
        <v>161</v>
      </c>
      <c r="J42" t="s">
        <v>74</v>
      </c>
      <c r="L42" s="1" t="s">
        <v>164</v>
      </c>
      <c r="P42" t="s">
        <v>168</v>
      </c>
      <c r="Q42" s="1" t="s">
        <v>159</v>
      </c>
      <c r="R42" s="7" t="s">
        <v>160</v>
      </c>
      <c r="T42">
        <v>1.8</v>
      </c>
      <c r="U42">
        <v>2.6</v>
      </c>
      <c r="X42" t="s">
        <v>98</v>
      </c>
      <c r="Y42" t="s">
        <v>163</v>
      </c>
      <c r="AA42" t="s">
        <v>157</v>
      </c>
      <c r="AE42">
        <v>3</v>
      </c>
      <c r="AF42">
        <v>3</v>
      </c>
      <c r="AH42">
        <v>560</v>
      </c>
      <c r="AJ42">
        <v>273</v>
      </c>
      <c r="AM42">
        <v>207</v>
      </c>
      <c r="AN42">
        <v>189</v>
      </c>
      <c r="AQ42">
        <f>AN42/AJ42</f>
        <v>0.69230769230769229</v>
      </c>
      <c r="AR42">
        <f>(AJ42-AN42)/50</f>
        <v>1.68</v>
      </c>
      <c r="AV42">
        <v>1.7470000000000001</v>
      </c>
    </row>
    <row r="43" spans="1:57">
      <c r="A43" t="s">
        <v>80</v>
      </c>
      <c r="B43" t="s">
        <v>180</v>
      </c>
      <c r="C43" t="s">
        <v>167</v>
      </c>
      <c r="D43" s="1" t="s">
        <v>183</v>
      </c>
      <c r="E43" s="11" t="s">
        <v>403</v>
      </c>
      <c r="H43" t="s">
        <v>73</v>
      </c>
      <c r="J43" t="s">
        <v>74</v>
      </c>
      <c r="L43" s="1" t="s">
        <v>193</v>
      </c>
      <c r="P43" t="s">
        <v>82</v>
      </c>
      <c r="Q43" s="1" t="s">
        <v>191</v>
      </c>
      <c r="R43" t="s">
        <v>192</v>
      </c>
      <c r="T43">
        <v>1.1000000000000001</v>
      </c>
      <c r="U43">
        <v>2.7</v>
      </c>
      <c r="X43" t="s">
        <v>169</v>
      </c>
      <c r="Y43" t="s">
        <v>190</v>
      </c>
      <c r="Z43" t="s">
        <v>186</v>
      </c>
      <c r="AA43" t="s">
        <v>184</v>
      </c>
      <c r="AC43" s="8">
        <v>0.05</v>
      </c>
      <c r="AD43" s="8">
        <v>0.05</v>
      </c>
      <c r="AE43">
        <f>AC43*AH43</f>
        <v>4.7700000000000005</v>
      </c>
      <c r="AF43">
        <f>AD43*AH43</f>
        <v>4.7700000000000005</v>
      </c>
      <c r="AH43">
        <v>95.4</v>
      </c>
      <c r="AJ43">
        <v>78</v>
      </c>
      <c r="AM43">
        <v>36</v>
      </c>
    </row>
    <row r="44" spans="1:57">
      <c r="A44" t="s">
        <v>80</v>
      </c>
      <c r="B44" t="s">
        <v>181</v>
      </c>
      <c r="C44" t="s">
        <v>167</v>
      </c>
      <c r="D44" s="1" t="s">
        <v>183</v>
      </c>
      <c r="E44" s="11" t="s">
        <v>403</v>
      </c>
      <c r="H44" t="s">
        <v>73</v>
      </c>
      <c r="J44" t="s">
        <v>74</v>
      </c>
      <c r="L44" s="1" t="s">
        <v>193</v>
      </c>
      <c r="P44" t="s">
        <v>82</v>
      </c>
      <c r="Q44" s="1" t="s">
        <v>191</v>
      </c>
      <c r="R44" t="s">
        <v>192</v>
      </c>
      <c r="T44">
        <v>1.1000000000000001</v>
      </c>
      <c r="U44">
        <v>2.7</v>
      </c>
      <c r="X44" t="s">
        <v>169</v>
      </c>
      <c r="Y44" t="s">
        <v>190</v>
      </c>
      <c r="Z44" t="s">
        <v>187</v>
      </c>
      <c r="AA44" t="s">
        <v>185</v>
      </c>
      <c r="AC44" s="8">
        <v>0.05</v>
      </c>
      <c r="AD44" s="8">
        <v>0.05</v>
      </c>
      <c r="AE44">
        <f>AC44*AH44</f>
        <v>8.08</v>
      </c>
      <c r="AF44">
        <f>AD44*AH44</f>
        <v>8.08</v>
      </c>
      <c r="AH44">
        <v>161.6</v>
      </c>
      <c r="AJ44">
        <v>180</v>
      </c>
      <c r="AM44">
        <v>94</v>
      </c>
    </row>
    <row r="45" spans="1:57">
      <c r="A45" t="s">
        <v>80</v>
      </c>
      <c r="B45" t="s">
        <v>188</v>
      </c>
      <c r="C45" t="s">
        <v>167</v>
      </c>
      <c r="D45" s="1" t="s">
        <v>183</v>
      </c>
      <c r="E45" s="11" t="s">
        <v>403</v>
      </c>
      <c r="H45" t="s">
        <v>73</v>
      </c>
      <c r="J45" t="s">
        <v>74</v>
      </c>
      <c r="L45" s="1" t="s">
        <v>193</v>
      </c>
      <c r="P45" s="5" t="s">
        <v>82</v>
      </c>
      <c r="Q45" s="1" t="s">
        <v>191</v>
      </c>
      <c r="R45" t="s">
        <v>192</v>
      </c>
      <c r="T45">
        <v>1.1000000000000001</v>
      </c>
      <c r="U45">
        <v>2.7</v>
      </c>
      <c r="X45" t="s">
        <v>169</v>
      </c>
      <c r="Y45" t="s">
        <v>190</v>
      </c>
      <c r="Z45" t="s">
        <v>189</v>
      </c>
      <c r="AA45" t="s">
        <v>184</v>
      </c>
      <c r="AC45" s="8">
        <v>0.05</v>
      </c>
      <c r="AD45" s="8">
        <v>0.05</v>
      </c>
      <c r="AE45">
        <f>AC45*AH45</f>
        <v>9.9550000000000001</v>
      </c>
      <c r="AF45">
        <f>AD45*AH45</f>
        <v>9.9550000000000001</v>
      </c>
      <c r="AH45">
        <v>199.1</v>
      </c>
      <c r="AJ45">
        <v>172</v>
      </c>
      <c r="AM45">
        <v>58</v>
      </c>
    </row>
    <row r="46" spans="1:57">
      <c r="A46" t="s">
        <v>80</v>
      </c>
      <c r="B46" t="s">
        <v>182</v>
      </c>
      <c r="C46" t="s">
        <v>167</v>
      </c>
      <c r="D46" s="1" t="s">
        <v>183</v>
      </c>
      <c r="E46" s="11" t="s">
        <v>403</v>
      </c>
      <c r="H46" t="s">
        <v>73</v>
      </c>
      <c r="J46" t="s">
        <v>74</v>
      </c>
      <c r="L46" s="1" t="s">
        <v>193</v>
      </c>
      <c r="P46" s="5" t="s">
        <v>82</v>
      </c>
      <c r="Q46" s="1" t="s">
        <v>191</v>
      </c>
      <c r="R46" t="s">
        <v>192</v>
      </c>
      <c r="T46">
        <v>1.1000000000000001</v>
      </c>
      <c r="U46">
        <v>2.7</v>
      </c>
      <c r="X46" t="s">
        <v>169</v>
      </c>
      <c r="Y46" t="s">
        <v>190</v>
      </c>
      <c r="AC46" s="8">
        <v>0.05</v>
      </c>
      <c r="AD46" s="8">
        <v>0.05</v>
      </c>
      <c r="AE46">
        <f>AC46*AH46</f>
        <v>16.84</v>
      </c>
      <c r="AF46">
        <f>AD46*AH46</f>
        <v>16.84</v>
      </c>
      <c r="AH46">
        <v>336.8</v>
      </c>
      <c r="AJ46">
        <v>141</v>
      </c>
      <c r="AM46">
        <v>83</v>
      </c>
    </row>
    <row r="47" spans="1:57">
      <c r="A47" t="s">
        <v>80</v>
      </c>
      <c r="B47" t="s">
        <v>466</v>
      </c>
      <c r="C47" t="s">
        <v>167</v>
      </c>
      <c r="D47" s="1" t="s">
        <v>183</v>
      </c>
      <c r="E47" s="11" t="s">
        <v>403</v>
      </c>
      <c r="H47" t="s">
        <v>73</v>
      </c>
      <c r="J47" t="s">
        <v>74</v>
      </c>
      <c r="L47" s="1" t="s">
        <v>193</v>
      </c>
      <c r="P47" s="5" t="s">
        <v>82</v>
      </c>
      <c r="Q47" s="9" t="s">
        <v>191</v>
      </c>
      <c r="R47" t="s">
        <v>192</v>
      </c>
      <c r="T47">
        <v>1.1000000000000001</v>
      </c>
      <c r="U47">
        <v>2.7</v>
      </c>
      <c r="X47" t="s">
        <v>169</v>
      </c>
      <c r="Y47" t="s">
        <v>190</v>
      </c>
      <c r="AC47" s="8">
        <v>0.05</v>
      </c>
      <c r="AD47" s="8">
        <v>0.05</v>
      </c>
      <c r="AE47">
        <f>AC47*AH47</f>
        <v>16.850000000000001</v>
      </c>
      <c r="AF47">
        <f>AD47*AH47</f>
        <v>16.850000000000001</v>
      </c>
      <c r="AH47">
        <v>337</v>
      </c>
      <c r="AJ47">
        <v>213</v>
      </c>
      <c r="AM47">
        <v>9</v>
      </c>
      <c r="AV47">
        <v>1.827</v>
      </c>
    </row>
    <row r="48" spans="1:57">
      <c r="A48" t="s">
        <v>80</v>
      </c>
      <c r="B48" t="s">
        <v>204</v>
      </c>
      <c r="C48" t="s">
        <v>166</v>
      </c>
      <c r="D48" s="1" t="s">
        <v>216</v>
      </c>
      <c r="E48" s="11" t="s">
        <v>403</v>
      </c>
      <c r="H48" t="s">
        <v>214</v>
      </c>
      <c r="J48" t="s">
        <v>74</v>
      </c>
      <c r="L48" s="1" t="s">
        <v>84</v>
      </c>
      <c r="P48" t="s">
        <v>100</v>
      </c>
      <c r="Q48" s="1" t="s">
        <v>209</v>
      </c>
      <c r="R48" s="7" t="s">
        <v>213</v>
      </c>
      <c r="T48">
        <v>5.0000000000000001E-3</v>
      </c>
      <c r="U48">
        <v>3</v>
      </c>
      <c r="Y48" t="s">
        <v>215</v>
      </c>
      <c r="AC48">
        <f>AE48/AH48</f>
        <v>0.14925373134328357</v>
      </c>
      <c r="AD48">
        <f>AF48/AH48</f>
        <v>0.14925373134328357</v>
      </c>
      <c r="AE48">
        <v>100</v>
      </c>
      <c r="AF48">
        <v>100</v>
      </c>
      <c r="AH48">
        <v>670</v>
      </c>
      <c r="AJ48">
        <v>869</v>
      </c>
      <c r="AM48">
        <v>812</v>
      </c>
      <c r="AN48">
        <v>630</v>
      </c>
      <c r="AO48">
        <v>529</v>
      </c>
      <c r="AQ48">
        <f>AN48/AJ48</f>
        <v>0.72497123130034524</v>
      </c>
      <c r="AR48">
        <f>(AJ48-AN48)/50</f>
        <v>4.78</v>
      </c>
      <c r="AS48" t="s">
        <v>489</v>
      </c>
      <c r="AT48" t="s">
        <v>490</v>
      </c>
      <c r="AU48" t="s">
        <v>491</v>
      </c>
      <c r="AV48">
        <v>1.69</v>
      </c>
      <c r="BE48">
        <v>65.900000000000006</v>
      </c>
    </row>
    <row r="49" spans="1:62">
      <c r="A49" t="s">
        <v>80</v>
      </c>
      <c r="B49" t="s">
        <v>204</v>
      </c>
      <c r="C49" t="s">
        <v>166</v>
      </c>
      <c r="D49" s="1" t="s">
        <v>216</v>
      </c>
      <c r="E49" s="11" t="s">
        <v>403</v>
      </c>
      <c r="H49" t="s">
        <v>399</v>
      </c>
      <c r="J49" t="s">
        <v>74</v>
      </c>
      <c r="L49" s="1" t="s">
        <v>84</v>
      </c>
      <c r="P49" t="s">
        <v>100</v>
      </c>
      <c r="Q49" s="1" t="s">
        <v>209</v>
      </c>
      <c r="R49" s="7" t="s">
        <v>213</v>
      </c>
      <c r="T49">
        <v>5.0000000000000001E-3</v>
      </c>
      <c r="U49">
        <v>3</v>
      </c>
      <c r="Y49" t="s">
        <v>215</v>
      </c>
      <c r="AC49">
        <f>AE49/AH49</f>
        <v>0.14925373134328357</v>
      </c>
      <c r="AD49">
        <f>AF49/AH49</f>
        <v>0.14925373134328357</v>
      </c>
      <c r="AE49">
        <v>100</v>
      </c>
      <c r="AF49">
        <v>100</v>
      </c>
      <c r="AH49">
        <v>670</v>
      </c>
      <c r="AJ49">
        <v>724</v>
      </c>
      <c r="AM49">
        <v>764</v>
      </c>
      <c r="AN49">
        <v>602</v>
      </c>
      <c r="AO49">
        <v>393</v>
      </c>
      <c r="AQ49">
        <f>AN49/AJ49</f>
        <v>0.83149171270718236</v>
      </c>
      <c r="AR49">
        <f>(AJ49-AN49)/50</f>
        <v>2.44</v>
      </c>
      <c r="AS49" t="s">
        <v>484</v>
      </c>
      <c r="AT49" t="s">
        <v>485</v>
      </c>
      <c r="AU49" t="s">
        <v>486</v>
      </c>
      <c r="AV49">
        <v>1.69</v>
      </c>
      <c r="BE49">
        <v>58.65</v>
      </c>
    </row>
    <row r="50" spans="1:62">
      <c r="A50" t="s">
        <v>80</v>
      </c>
      <c r="B50" t="s">
        <v>204</v>
      </c>
      <c r="C50" t="s">
        <v>166</v>
      </c>
      <c r="D50" s="1" t="s">
        <v>216</v>
      </c>
      <c r="E50" s="11" t="s">
        <v>403</v>
      </c>
      <c r="F50" t="s">
        <v>217</v>
      </c>
      <c r="H50" t="s">
        <v>400</v>
      </c>
      <c r="J50" t="s">
        <v>74</v>
      </c>
      <c r="L50" s="1" t="s">
        <v>84</v>
      </c>
      <c r="P50" t="s">
        <v>100</v>
      </c>
      <c r="Q50" s="1" t="s">
        <v>209</v>
      </c>
      <c r="R50" s="7" t="s">
        <v>213</v>
      </c>
      <c r="T50">
        <v>5.0000000000000001E-3</v>
      </c>
      <c r="U50">
        <v>3</v>
      </c>
      <c r="Y50" t="s">
        <v>215</v>
      </c>
      <c r="AC50">
        <f>AE50/AH50</f>
        <v>0.14925373134328357</v>
      </c>
      <c r="AD50">
        <f>AF50/AH50</f>
        <v>0.14925373134328357</v>
      </c>
      <c r="AE50">
        <v>100</v>
      </c>
      <c r="AF50">
        <v>100</v>
      </c>
      <c r="AH50">
        <v>670</v>
      </c>
      <c r="AJ50">
        <v>807</v>
      </c>
      <c r="AM50">
        <v>608</v>
      </c>
      <c r="AN50">
        <v>368</v>
      </c>
      <c r="AQ50">
        <f>AN50/AJ50</f>
        <v>0.45600991325898388</v>
      </c>
      <c r="AR50">
        <f>(AJ50-AN50)/50</f>
        <v>8.7799999999999994</v>
      </c>
      <c r="AS50" t="s">
        <v>487</v>
      </c>
      <c r="AT50" t="s">
        <v>488</v>
      </c>
      <c r="AU50">
        <v>2.5</v>
      </c>
      <c r="AV50">
        <v>1.69</v>
      </c>
      <c r="BE50">
        <v>60.2</v>
      </c>
    </row>
    <row r="51" spans="1:62">
      <c r="A51" t="s">
        <v>80</v>
      </c>
      <c r="B51" t="s">
        <v>204</v>
      </c>
      <c r="C51" t="s">
        <v>166</v>
      </c>
      <c r="D51" s="1" t="s">
        <v>216</v>
      </c>
      <c r="E51" s="11" t="s">
        <v>403</v>
      </c>
      <c r="F51" t="s">
        <v>217</v>
      </c>
      <c r="H51" t="s">
        <v>399</v>
      </c>
      <c r="J51" t="s">
        <v>74</v>
      </c>
      <c r="L51" s="1" t="s">
        <v>84</v>
      </c>
      <c r="P51" t="s">
        <v>100</v>
      </c>
      <c r="Q51" s="1" t="s">
        <v>209</v>
      </c>
      <c r="R51" s="7" t="s">
        <v>213</v>
      </c>
      <c r="T51">
        <v>5.0000000000000001E-3</v>
      </c>
      <c r="U51">
        <v>3</v>
      </c>
      <c r="Y51" t="s">
        <v>215</v>
      </c>
      <c r="AC51">
        <f>AE51/AH51</f>
        <v>0.14925373134328357</v>
      </c>
      <c r="AD51">
        <f>AF51/AH51</f>
        <v>0.14925373134328357</v>
      </c>
      <c r="AE51">
        <v>100</v>
      </c>
      <c r="AF51">
        <v>100</v>
      </c>
      <c r="AH51">
        <v>670</v>
      </c>
      <c r="AJ51">
        <v>652</v>
      </c>
      <c r="AM51">
        <v>608</v>
      </c>
      <c r="AN51">
        <v>313</v>
      </c>
      <c r="AQ51">
        <f>AN51/AJ51</f>
        <v>0.48006134969325154</v>
      </c>
      <c r="AR51">
        <f>(AJ51-AN51)/50</f>
        <v>6.78</v>
      </c>
      <c r="AS51" t="s">
        <v>492</v>
      </c>
      <c r="AT51" t="s">
        <v>488</v>
      </c>
      <c r="AU51">
        <v>2.4</v>
      </c>
      <c r="AV51">
        <v>1.69</v>
      </c>
      <c r="BE51">
        <v>59.3</v>
      </c>
    </row>
    <row r="52" spans="1:62">
      <c r="A52" t="s">
        <v>80</v>
      </c>
      <c r="B52" t="s">
        <v>219</v>
      </c>
      <c r="C52" t="s">
        <v>167</v>
      </c>
      <c r="D52" s="1" t="s">
        <v>222</v>
      </c>
      <c r="G52" t="s">
        <v>225</v>
      </c>
      <c r="H52" t="s">
        <v>218</v>
      </c>
      <c r="J52" t="s">
        <v>74</v>
      </c>
      <c r="L52" s="1" t="s">
        <v>224</v>
      </c>
      <c r="P52" t="s">
        <v>168</v>
      </c>
      <c r="Q52" s="1" t="s">
        <v>220</v>
      </c>
      <c r="R52" s="7" t="s">
        <v>221</v>
      </c>
      <c r="T52">
        <v>0.01</v>
      </c>
      <c r="U52">
        <v>3</v>
      </c>
      <c r="X52" t="s">
        <v>223</v>
      </c>
      <c r="AJ52">
        <v>920</v>
      </c>
      <c r="AM52">
        <v>570</v>
      </c>
      <c r="AP52" t="s">
        <v>178</v>
      </c>
    </row>
    <row r="53" spans="1:62">
      <c r="A53" t="s">
        <v>80</v>
      </c>
      <c r="B53" t="s">
        <v>228</v>
      </c>
      <c r="C53" t="s">
        <v>166</v>
      </c>
      <c r="D53" s="1" t="s">
        <v>230</v>
      </c>
      <c r="H53" t="s">
        <v>229</v>
      </c>
      <c r="J53" t="s">
        <v>74</v>
      </c>
      <c r="L53" s="1" t="s">
        <v>128</v>
      </c>
      <c r="P53" t="s">
        <v>225</v>
      </c>
      <c r="Q53" s="1" t="s">
        <v>226</v>
      </c>
      <c r="R53" s="7" t="s">
        <v>227</v>
      </c>
      <c r="T53">
        <v>0.01</v>
      </c>
      <c r="U53">
        <v>3</v>
      </c>
      <c r="X53" t="s">
        <v>98</v>
      </c>
      <c r="AE53">
        <v>47.5</v>
      </c>
      <c r="AF53">
        <v>47.5</v>
      </c>
      <c r="AJ53">
        <v>1690</v>
      </c>
      <c r="AM53">
        <v>680</v>
      </c>
      <c r="AP53" t="s">
        <v>178</v>
      </c>
      <c r="BJ53">
        <v>900</v>
      </c>
    </row>
    <row r="54" spans="1:62">
      <c r="A54" t="s">
        <v>80</v>
      </c>
      <c r="B54" t="s">
        <v>287</v>
      </c>
      <c r="C54" t="s">
        <v>166</v>
      </c>
      <c r="D54" s="1" t="s">
        <v>247</v>
      </c>
      <c r="E54" s="11" t="s">
        <v>403</v>
      </c>
      <c r="F54" t="s">
        <v>449</v>
      </c>
      <c r="H54" t="s">
        <v>399</v>
      </c>
      <c r="J54" t="s">
        <v>74</v>
      </c>
      <c r="L54" s="1" t="s">
        <v>84</v>
      </c>
      <c r="P54" t="s">
        <v>168</v>
      </c>
      <c r="Q54" s="1" t="s">
        <v>248</v>
      </c>
      <c r="R54" s="7" t="s">
        <v>249</v>
      </c>
      <c r="T54">
        <v>0.02</v>
      </c>
      <c r="U54">
        <v>3.3</v>
      </c>
      <c r="V54">
        <v>2.5</v>
      </c>
      <c r="X54" t="s">
        <v>246</v>
      </c>
      <c r="AC54">
        <f>AE54/AH54</f>
        <v>8.1103000811030002E-2</v>
      </c>
      <c r="AD54">
        <f>AF54/AH54</f>
        <v>8.1103000811030002E-2</v>
      </c>
      <c r="AE54">
        <v>100</v>
      </c>
      <c r="AF54">
        <v>100</v>
      </c>
      <c r="AH54">
        <v>1233</v>
      </c>
      <c r="AJ54">
        <v>1289</v>
      </c>
      <c r="AM54">
        <v>602.1</v>
      </c>
      <c r="AP54" t="s">
        <v>178</v>
      </c>
      <c r="AS54">
        <v>0.4</v>
      </c>
      <c r="AU54">
        <v>1.2</v>
      </c>
      <c r="AV54">
        <v>1.708</v>
      </c>
    </row>
    <row r="55" spans="1:62">
      <c r="A55" t="s">
        <v>80</v>
      </c>
      <c r="B55" t="s">
        <v>287</v>
      </c>
      <c r="C55" t="s">
        <v>166</v>
      </c>
      <c r="D55" s="1" t="s">
        <v>247</v>
      </c>
      <c r="E55" s="11" t="s">
        <v>403</v>
      </c>
      <c r="F55" t="s">
        <v>286</v>
      </c>
      <c r="H55" t="s">
        <v>399</v>
      </c>
      <c r="J55" t="s">
        <v>74</v>
      </c>
      <c r="L55" s="1" t="s">
        <v>84</v>
      </c>
      <c r="P55" t="s">
        <v>168</v>
      </c>
      <c r="Q55" s="1" t="s">
        <v>248</v>
      </c>
      <c r="R55" s="7" t="s">
        <v>249</v>
      </c>
      <c r="T55">
        <v>0.02</v>
      </c>
      <c r="U55">
        <v>3.3</v>
      </c>
      <c r="V55">
        <v>0.75</v>
      </c>
      <c r="X55" t="s">
        <v>246</v>
      </c>
      <c r="AC55">
        <f>AE55/AH55</f>
        <v>8.1103000811030002E-2</v>
      </c>
      <c r="AD55">
        <f>AF55/AH55</f>
        <v>8.1103000811030002E-2</v>
      </c>
      <c r="AE55">
        <v>100</v>
      </c>
      <c r="AF55">
        <v>100</v>
      </c>
      <c r="AH55">
        <v>1233</v>
      </c>
      <c r="AJ55">
        <v>1992.6</v>
      </c>
      <c r="AM55">
        <v>656.5</v>
      </c>
      <c r="AP55" t="s">
        <v>178</v>
      </c>
      <c r="AS55">
        <v>0.4</v>
      </c>
      <c r="AU55">
        <v>1.1399999999999999</v>
      </c>
      <c r="AV55">
        <v>1.708</v>
      </c>
    </row>
    <row r="56" spans="1:62" s="18" customFormat="1">
      <c r="A56" s="18" t="s">
        <v>80</v>
      </c>
      <c r="B56" s="18" t="s">
        <v>69</v>
      </c>
      <c r="C56" s="18" t="s">
        <v>166</v>
      </c>
      <c r="D56" s="20" t="s">
        <v>260</v>
      </c>
      <c r="E56" s="20" t="s">
        <v>403</v>
      </c>
      <c r="F56" s="18" t="s">
        <v>254</v>
      </c>
      <c r="H56" s="18" t="s">
        <v>258</v>
      </c>
      <c r="J56" s="18" t="s">
        <v>74</v>
      </c>
      <c r="L56" s="20" t="s">
        <v>128</v>
      </c>
      <c r="P56" s="18" t="s">
        <v>82</v>
      </c>
      <c r="Q56" s="19" t="s">
        <v>250</v>
      </c>
      <c r="R56" s="21" t="s">
        <v>251</v>
      </c>
      <c r="T56" s="18">
        <v>0.02</v>
      </c>
      <c r="U56" s="18" t="s">
        <v>270</v>
      </c>
      <c r="X56" s="18" t="s">
        <v>169</v>
      </c>
      <c r="AA56" s="18" t="s">
        <v>261</v>
      </c>
      <c r="AC56" s="18">
        <v>1</v>
      </c>
      <c r="AD56" s="18">
        <v>1</v>
      </c>
      <c r="AE56" s="18">
        <v>1018</v>
      </c>
      <c r="AF56" s="18">
        <v>1018</v>
      </c>
      <c r="AH56" s="18">
        <v>1018</v>
      </c>
      <c r="AJ56" s="18">
        <v>1360</v>
      </c>
      <c r="AM56" s="18">
        <v>251</v>
      </c>
      <c r="AN56" s="18">
        <v>208</v>
      </c>
      <c r="AP56" s="18" t="s">
        <v>265</v>
      </c>
      <c r="AQ56" s="18">
        <f>AN56/AJ56</f>
        <v>0.15294117647058825</v>
      </c>
      <c r="AR56" s="18">
        <f>(AJ56-AN56)/50</f>
        <v>23.04</v>
      </c>
      <c r="AV56" s="18">
        <v>1.431</v>
      </c>
    </row>
    <row r="57" spans="1:62" s="18" customFormat="1">
      <c r="A57" s="18" t="s">
        <v>80</v>
      </c>
      <c r="B57" s="18" t="s">
        <v>252</v>
      </c>
      <c r="C57" s="18" t="s">
        <v>166</v>
      </c>
      <c r="D57" s="20" t="s">
        <v>260</v>
      </c>
      <c r="E57" s="20" t="s">
        <v>403</v>
      </c>
      <c r="F57" s="18" t="s">
        <v>254</v>
      </c>
      <c r="H57" s="18" t="s">
        <v>258</v>
      </c>
      <c r="J57" s="18" t="s">
        <v>74</v>
      </c>
      <c r="L57" s="20" t="s">
        <v>128</v>
      </c>
      <c r="P57" s="18" t="s">
        <v>82</v>
      </c>
      <c r="Q57" s="18" t="s">
        <v>250</v>
      </c>
      <c r="R57" s="21" t="s">
        <v>251</v>
      </c>
      <c r="T57" s="18">
        <v>0.02</v>
      </c>
      <c r="U57" s="18" t="s">
        <v>270</v>
      </c>
      <c r="X57" s="18" t="s">
        <v>169</v>
      </c>
      <c r="AA57" s="18" t="s">
        <v>262</v>
      </c>
      <c r="AC57" s="18">
        <v>1</v>
      </c>
      <c r="AD57" s="18">
        <v>1</v>
      </c>
      <c r="AJ57" s="18">
        <v>1234</v>
      </c>
      <c r="AM57" s="18">
        <v>467</v>
      </c>
      <c r="AN57" s="18">
        <v>290</v>
      </c>
      <c r="AQ57" s="18">
        <f>AN57/AJ57</f>
        <v>0.23500810372771475</v>
      </c>
      <c r="AR57" s="18">
        <f>(AJ57-AN57)/50</f>
        <v>18.88</v>
      </c>
    </row>
    <row r="58" spans="1:62" s="18" customFormat="1">
      <c r="A58" s="18" t="s">
        <v>80</v>
      </c>
      <c r="B58" s="18" t="s">
        <v>253</v>
      </c>
      <c r="C58" s="18" t="s">
        <v>166</v>
      </c>
      <c r="D58" s="20" t="s">
        <v>260</v>
      </c>
      <c r="E58" s="20" t="s">
        <v>403</v>
      </c>
      <c r="F58" s="18" t="s">
        <v>254</v>
      </c>
      <c r="H58" s="18" t="s">
        <v>258</v>
      </c>
      <c r="J58" s="18" t="s">
        <v>74</v>
      </c>
      <c r="L58" s="20" t="s">
        <v>128</v>
      </c>
      <c r="P58" s="18" t="s">
        <v>82</v>
      </c>
      <c r="Q58" s="18" t="s">
        <v>250</v>
      </c>
      <c r="R58" s="21" t="s">
        <v>251</v>
      </c>
      <c r="T58" s="18">
        <v>0.02</v>
      </c>
      <c r="U58" s="18" t="s">
        <v>270</v>
      </c>
      <c r="X58" s="18" t="s">
        <v>169</v>
      </c>
      <c r="AC58" s="18">
        <v>1</v>
      </c>
      <c r="AD58" s="18">
        <v>1</v>
      </c>
      <c r="AJ58" s="18">
        <v>1199</v>
      </c>
      <c r="AM58" s="18">
        <v>342</v>
      </c>
      <c r="AN58" s="18">
        <v>283</v>
      </c>
      <c r="AQ58" s="18">
        <f>AN58/AJ58</f>
        <v>0.23603002502085071</v>
      </c>
      <c r="AR58" s="18">
        <f>(AJ58-AN58)/50</f>
        <v>18.32</v>
      </c>
    </row>
    <row r="59" spans="1:62" s="18" customFormat="1">
      <c r="A59" s="18" t="s">
        <v>80</v>
      </c>
      <c r="B59" s="18" t="s">
        <v>259</v>
      </c>
      <c r="C59" s="18" t="s">
        <v>166</v>
      </c>
      <c r="D59" s="20" t="s">
        <v>260</v>
      </c>
      <c r="E59" s="20" t="s">
        <v>403</v>
      </c>
      <c r="F59" s="18" t="s">
        <v>254</v>
      </c>
      <c r="H59" s="18" t="s">
        <v>258</v>
      </c>
      <c r="J59" s="18" t="s">
        <v>74</v>
      </c>
      <c r="L59" s="20" t="s">
        <v>128</v>
      </c>
      <c r="P59" s="18" t="s">
        <v>82</v>
      </c>
      <c r="Q59" s="18" t="s">
        <v>250</v>
      </c>
      <c r="R59" s="21" t="s">
        <v>251</v>
      </c>
      <c r="T59" s="18">
        <v>0.02</v>
      </c>
      <c r="U59" s="18" t="s">
        <v>270</v>
      </c>
      <c r="X59" s="18" t="s">
        <v>169</v>
      </c>
      <c r="AA59" s="18" t="s">
        <v>263</v>
      </c>
      <c r="AC59" s="18">
        <v>1</v>
      </c>
      <c r="AD59" s="18">
        <v>1</v>
      </c>
      <c r="AJ59" s="18">
        <v>1281</v>
      </c>
      <c r="AM59" s="18">
        <v>393</v>
      </c>
      <c r="AN59" s="18">
        <v>283</v>
      </c>
      <c r="AQ59" s="18">
        <f>AN59/AJ59</f>
        <v>0.22092115534738485</v>
      </c>
      <c r="AR59" s="18">
        <f>(AJ59-AN59)/50</f>
        <v>19.96</v>
      </c>
    </row>
    <row r="60" spans="1:62">
      <c r="A60" t="s">
        <v>80</v>
      </c>
      <c r="B60" t="s">
        <v>69</v>
      </c>
      <c r="C60" t="s">
        <v>166</v>
      </c>
      <c r="D60" s="11" t="s">
        <v>260</v>
      </c>
      <c r="E60" s="11" t="s">
        <v>403</v>
      </c>
      <c r="F60" t="s">
        <v>255</v>
      </c>
      <c r="H60" t="s">
        <v>258</v>
      </c>
      <c r="J60" t="s">
        <v>74</v>
      </c>
      <c r="L60" s="11" t="s">
        <v>128</v>
      </c>
      <c r="P60" t="s">
        <v>82</v>
      </c>
      <c r="Q60" t="s">
        <v>250</v>
      </c>
      <c r="R60" s="7" t="s">
        <v>251</v>
      </c>
      <c r="T60">
        <v>0.02</v>
      </c>
      <c r="U60" t="s">
        <v>270</v>
      </c>
      <c r="V60" s="6"/>
      <c r="W60" s="6"/>
      <c r="X60" t="s">
        <v>169</v>
      </c>
      <c r="AA60" t="s">
        <v>261</v>
      </c>
      <c r="AC60">
        <v>1</v>
      </c>
      <c r="AD60">
        <v>1</v>
      </c>
      <c r="AE60">
        <v>1018</v>
      </c>
      <c r="AF60">
        <v>1018</v>
      </c>
      <c r="AH60">
        <v>1018</v>
      </c>
      <c r="AJ60">
        <v>1244</v>
      </c>
      <c r="AM60">
        <v>344</v>
      </c>
      <c r="AP60" t="s">
        <v>266</v>
      </c>
      <c r="AS60">
        <v>0.28999999999999998</v>
      </c>
      <c r="AV60">
        <v>1.431</v>
      </c>
    </row>
    <row r="61" spans="1:62">
      <c r="A61" t="s">
        <v>80</v>
      </c>
      <c r="B61" t="s">
        <v>252</v>
      </c>
      <c r="C61" t="s">
        <v>166</v>
      </c>
      <c r="D61" s="11" t="s">
        <v>260</v>
      </c>
      <c r="E61" s="11" t="s">
        <v>403</v>
      </c>
      <c r="F61" t="s">
        <v>255</v>
      </c>
      <c r="H61" t="s">
        <v>258</v>
      </c>
      <c r="J61" t="s">
        <v>74</v>
      </c>
      <c r="L61" s="11" t="s">
        <v>128</v>
      </c>
      <c r="P61" t="s">
        <v>82</v>
      </c>
      <c r="Q61" t="s">
        <v>250</v>
      </c>
      <c r="R61" s="7" t="s">
        <v>251</v>
      </c>
      <c r="T61">
        <v>0.02</v>
      </c>
      <c r="U61" t="s">
        <v>270</v>
      </c>
      <c r="V61" s="6"/>
      <c r="W61" s="6"/>
      <c r="X61" t="s">
        <v>169</v>
      </c>
      <c r="AA61" t="s">
        <v>262</v>
      </c>
      <c r="AC61">
        <v>1</v>
      </c>
      <c r="AD61">
        <v>1</v>
      </c>
      <c r="AJ61">
        <v>1136</v>
      </c>
      <c r="AM61">
        <v>423</v>
      </c>
      <c r="AN61">
        <v>331</v>
      </c>
      <c r="AQ61">
        <f t="shared" ref="AQ61:AQ71" si="2">AN61/AJ61</f>
        <v>0.29137323943661969</v>
      </c>
      <c r="AR61">
        <f t="shared" ref="AR61:AR71" si="3">(AJ61-AN61)/50</f>
        <v>16.100000000000001</v>
      </c>
      <c r="AS61">
        <v>0.5</v>
      </c>
    </row>
    <row r="62" spans="1:62">
      <c r="A62" t="s">
        <v>80</v>
      </c>
      <c r="B62" t="s">
        <v>253</v>
      </c>
      <c r="C62" t="s">
        <v>166</v>
      </c>
      <c r="D62" s="11" t="s">
        <v>260</v>
      </c>
      <c r="E62" s="11" t="s">
        <v>403</v>
      </c>
      <c r="F62" t="s">
        <v>255</v>
      </c>
      <c r="H62" t="s">
        <v>258</v>
      </c>
      <c r="J62" t="s">
        <v>74</v>
      </c>
      <c r="L62" s="11" t="s">
        <v>128</v>
      </c>
      <c r="P62" t="s">
        <v>82</v>
      </c>
      <c r="Q62" t="s">
        <v>250</v>
      </c>
      <c r="R62" s="7" t="s">
        <v>251</v>
      </c>
      <c r="T62">
        <v>0.02</v>
      </c>
      <c r="U62" t="s">
        <v>270</v>
      </c>
      <c r="V62" s="6"/>
      <c r="W62" s="6"/>
      <c r="X62" t="s">
        <v>169</v>
      </c>
      <c r="AC62">
        <v>1</v>
      </c>
      <c r="AD62">
        <v>1</v>
      </c>
      <c r="AJ62">
        <v>1230</v>
      </c>
      <c r="AM62">
        <v>510</v>
      </c>
      <c r="AN62">
        <v>364</v>
      </c>
      <c r="AQ62">
        <f t="shared" si="2"/>
        <v>0.29593495934959352</v>
      </c>
      <c r="AR62">
        <f t="shared" si="3"/>
        <v>17.32</v>
      </c>
      <c r="AS62">
        <v>0.6</v>
      </c>
    </row>
    <row r="63" spans="1:62">
      <c r="A63" t="s">
        <v>80</v>
      </c>
      <c r="B63" t="s">
        <v>259</v>
      </c>
      <c r="C63" t="s">
        <v>166</v>
      </c>
      <c r="D63" s="11" t="s">
        <v>260</v>
      </c>
      <c r="E63" s="11" t="s">
        <v>403</v>
      </c>
      <c r="F63" t="s">
        <v>255</v>
      </c>
      <c r="H63" t="s">
        <v>258</v>
      </c>
      <c r="J63" t="s">
        <v>74</v>
      </c>
      <c r="L63" s="11" t="s">
        <v>128</v>
      </c>
      <c r="P63" t="s">
        <v>82</v>
      </c>
      <c r="Q63" t="s">
        <v>250</v>
      </c>
      <c r="R63" s="7" t="s">
        <v>251</v>
      </c>
      <c r="T63">
        <v>0.02</v>
      </c>
      <c r="U63" t="s">
        <v>270</v>
      </c>
      <c r="V63" s="6"/>
      <c r="W63" s="6"/>
      <c r="X63" t="s">
        <v>169</v>
      </c>
      <c r="AA63" t="s">
        <v>263</v>
      </c>
      <c r="AC63">
        <v>1</v>
      </c>
      <c r="AD63">
        <v>1</v>
      </c>
      <c r="AJ63">
        <v>1240</v>
      </c>
      <c r="AM63">
        <v>550</v>
      </c>
      <c r="AN63">
        <v>428</v>
      </c>
      <c r="AP63" t="s">
        <v>267</v>
      </c>
      <c r="AQ63">
        <f t="shared" si="2"/>
        <v>0.34516129032258064</v>
      </c>
      <c r="AR63">
        <f t="shared" si="3"/>
        <v>16.239999999999998</v>
      </c>
      <c r="AS63">
        <v>0.8</v>
      </c>
    </row>
    <row r="64" spans="1:62" s="18" customFormat="1">
      <c r="A64" s="18" t="s">
        <v>80</v>
      </c>
      <c r="B64" s="18" t="s">
        <v>69</v>
      </c>
      <c r="C64" s="18" t="s">
        <v>166</v>
      </c>
      <c r="D64" s="20" t="s">
        <v>260</v>
      </c>
      <c r="E64" s="20" t="s">
        <v>403</v>
      </c>
      <c r="F64" s="18" t="s">
        <v>256</v>
      </c>
      <c r="H64" s="18" t="s">
        <v>258</v>
      </c>
      <c r="J64" s="18" t="s">
        <v>74</v>
      </c>
      <c r="L64" s="20" t="s">
        <v>128</v>
      </c>
      <c r="P64" s="18" t="s">
        <v>82</v>
      </c>
      <c r="Q64" s="18" t="s">
        <v>250</v>
      </c>
      <c r="R64" s="21" t="s">
        <v>251</v>
      </c>
      <c r="T64" s="18">
        <v>0.02</v>
      </c>
      <c r="U64" s="18" t="s">
        <v>270</v>
      </c>
      <c r="X64" s="18" t="s">
        <v>169</v>
      </c>
      <c r="AA64" s="18" t="s">
        <v>261</v>
      </c>
      <c r="AC64" s="18">
        <v>1</v>
      </c>
      <c r="AD64" s="18">
        <v>1</v>
      </c>
      <c r="AE64" s="18">
        <v>1018</v>
      </c>
      <c r="AF64" s="18">
        <v>1018</v>
      </c>
      <c r="AH64" s="18">
        <v>1018</v>
      </c>
      <c r="AJ64" s="18">
        <v>1188</v>
      </c>
      <c r="AM64" s="18">
        <v>428</v>
      </c>
      <c r="AN64" s="18">
        <v>391</v>
      </c>
      <c r="AP64" s="18" t="s">
        <v>268</v>
      </c>
      <c r="AQ64" s="18">
        <f t="shared" si="2"/>
        <v>0.3291245791245791</v>
      </c>
      <c r="AR64" s="18">
        <f t="shared" si="3"/>
        <v>15.94</v>
      </c>
      <c r="AV64" s="18">
        <v>1.431</v>
      </c>
    </row>
    <row r="65" spans="1:51" s="18" customFormat="1">
      <c r="A65" s="18" t="s">
        <v>80</v>
      </c>
      <c r="B65" s="18" t="s">
        <v>252</v>
      </c>
      <c r="C65" s="18" t="s">
        <v>166</v>
      </c>
      <c r="D65" s="20" t="s">
        <v>260</v>
      </c>
      <c r="E65" s="20" t="s">
        <v>403</v>
      </c>
      <c r="F65" s="18" t="s">
        <v>256</v>
      </c>
      <c r="H65" s="18" t="s">
        <v>258</v>
      </c>
      <c r="J65" s="18" t="s">
        <v>74</v>
      </c>
      <c r="L65" s="20" t="s">
        <v>128</v>
      </c>
      <c r="P65" s="18" t="s">
        <v>82</v>
      </c>
      <c r="Q65" s="18" t="s">
        <v>250</v>
      </c>
      <c r="R65" s="21" t="s">
        <v>251</v>
      </c>
      <c r="T65" s="18">
        <v>0.02</v>
      </c>
      <c r="U65" s="18" t="s">
        <v>270</v>
      </c>
      <c r="X65" s="18" t="s">
        <v>169</v>
      </c>
      <c r="AA65" s="18" t="s">
        <v>262</v>
      </c>
      <c r="AC65" s="18">
        <v>1</v>
      </c>
      <c r="AD65" s="18">
        <v>1</v>
      </c>
      <c r="AJ65" s="18">
        <v>1111</v>
      </c>
      <c r="AM65" s="18">
        <v>465</v>
      </c>
      <c r="AN65" s="18">
        <v>385</v>
      </c>
      <c r="AQ65" s="18">
        <f t="shared" si="2"/>
        <v>0.34653465346534651</v>
      </c>
      <c r="AR65" s="18">
        <f t="shared" si="3"/>
        <v>14.52</v>
      </c>
    </row>
    <row r="66" spans="1:51" s="18" customFormat="1">
      <c r="A66" s="18" t="s">
        <v>80</v>
      </c>
      <c r="B66" s="18" t="s">
        <v>253</v>
      </c>
      <c r="C66" s="18" t="s">
        <v>166</v>
      </c>
      <c r="D66" s="20" t="s">
        <v>260</v>
      </c>
      <c r="E66" s="20" t="s">
        <v>403</v>
      </c>
      <c r="F66" s="18" t="s">
        <v>256</v>
      </c>
      <c r="H66" s="18" t="s">
        <v>258</v>
      </c>
      <c r="J66" s="18" t="s">
        <v>74</v>
      </c>
      <c r="L66" s="20" t="s">
        <v>128</v>
      </c>
      <c r="P66" s="18" t="s">
        <v>82</v>
      </c>
      <c r="Q66" s="18" t="s">
        <v>250</v>
      </c>
      <c r="R66" s="21" t="s">
        <v>251</v>
      </c>
      <c r="T66" s="18">
        <v>0.02</v>
      </c>
      <c r="U66" s="18" t="s">
        <v>270</v>
      </c>
      <c r="X66" s="18" t="s">
        <v>169</v>
      </c>
      <c r="AC66" s="18">
        <v>1</v>
      </c>
      <c r="AD66" s="18">
        <v>1</v>
      </c>
      <c r="AJ66" s="18">
        <v>1125</v>
      </c>
      <c r="AM66" s="18">
        <v>452</v>
      </c>
      <c r="AN66" s="18">
        <v>385</v>
      </c>
      <c r="AQ66" s="18">
        <f t="shared" si="2"/>
        <v>0.34222222222222221</v>
      </c>
      <c r="AR66" s="18">
        <f t="shared" si="3"/>
        <v>14.8</v>
      </c>
    </row>
    <row r="67" spans="1:51" s="18" customFormat="1">
      <c r="A67" s="18" t="s">
        <v>80</v>
      </c>
      <c r="B67" s="18" t="s">
        <v>259</v>
      </c>
      <c r="C67" s="18" t="s">
        <v>166</v>
      </c>
      <c r="D67" s="20" t="s">
        <v>260</v>
      </c>
      <c r="E67" s="20" t="s">
        <v>403</v>
      </c>
      <c r="F67" s="18" t="s">
        <v>256</v>
      </c>
      <c r="H67" s="18" t="s">
        <v>258</v>
      </c>
      <c r="J67" s="18" t="s">
        <v>74</v>
      </c>
      <c r="L67" s="20" t="s">
        <v>128</v>
      </c>
      <c r="P67" s="18" t="s">
        <v>82</v>
      </c>
      <c r="Q67" s="18" t="s">
        <v>250</v>
      </c>
      <c r="R67" s="21" t="s">
        <v>251</v>
      </c>
      <c r="T67" s="18">
        <v>0.02</v>
      </c>
      <c r="U67" s="18" t="s">
        <v>270</v>
      </c>
      <c r="X67" s="18" t="s">
        <v>169</v>
      </c>
      <c r="AA67" s="18" t="s">
        <v>263</v>
      </c>
      <c r="AC67" s="18">
        <v>1</v>
      </c>
      <c r="AD67" s="18">
        <v>1</v>
      </c>
      <c r="AJ67" s="18">
        <v>1138</v>
      </c>
      <c r="AM67" s="18">
        <v>482</v>
      </c>
      <c r="AN67" s="18">
        <v>442</v>
      </c>
      <c r="AQ67" s="18">
        <f t="shared" si="2"/>
        <v>0.38840070298769769</v>
      </c>
      <c r="AR67" s="18">
        <f t="shared" si="3"/>
        <v>13.92</v>
      </c>
    </row>
    <row r="68" spans="1:51" s="18" customFormat="1">
      <c r="A68" s="18" t="s">
        <v>80</v>
      </c>
      <c r="B68" s="18" t="s">
        <v>264</v>
      </c>
      <c r="C68" s="18" t="s">
        <v>166</v>
      </c>
      <c r="D68" s="20" t="s">
        <v>260</v>
      </c>
      <c r="E68" s="20" t="s">
        <v>403</v>
      </c>
      <c r="F68" s="18" t="s">
        <v>257</v>
      </c>
      <c r="H68" s="18" t="s">
        <v>258</v>
      </c>
      <c r="J68" s="18" t="s">
        <v>74</v>
      </c>
      <c r="L68" s="20" t="s">
        <v>128</v>
      </c>
      <c r="P68" s="18" t="s">
        <v>82</v>
      </c>
      <c r="Q68" s="18" t="s">
        <v>250</v>
      </c>
      <c r="R68" s="21" t="s">
        <v>251</v>
      </c>
      <c r="T68" s="18">
        <v>0.02</v>
      </c>
      <c r="U68" s="18" t="s">
        <v>270</v>
      </c>
      <c r="X68" s="18" t="s">
        <v>169</v>
      </c>
      <c r="AA68" s="18" t="s">
        <v>262</v>
      </c>
      <c r="AC68" s="18">
        <v>1</v>
      </c>
      <c r="AD68" s="18">
        <v>1</v>
      </c>
      <c r="AE68" s="18">
        <v>1018</v>
      </c>
      <c r="AF68" s="18">
        <v>1018</v>
      </c>
      <c r="AH68" s="18">
        <v>1018</v>
      </c>
      <c r="AJ68" s="18">
        <v>1067</v>
      </c>
      <c r="AM68" s="18">
        <v>290</v>
      </c>
      <c r="AN68" s="18">
        <v>254</v>
      </c>
      <c r="AP68" s="18" t="s">
        <v>269</v>
      </c>
      <c r="AQ68" s="18">
        <f t="shared" si="2"/>
        <v>0.23805060918462981</v>
      </c>
      <c r="AR68" s="18">
        <f t="shared" si="3"/>
        <v>16.260000000000002</v>
      </c>
      <c r="AV68" s="18">
        <v>1.431</v>
      </c>
    </row>
    <row r="69" spans="1:51" s="18" customFormat="1">
      <c r="A69" s="18" t="s">
        <v>80</v>
      </c>
      <c r="B69" s="18" t="s">
        <v>252</v>
      </c>
      <c r="C69" s="18" t="s">
        <v>166</v>
      </c>
      <c r="D69" s="20" t="s">
        <v>260</v>
      </c>
      <c r="E69" s="20" t="s">
        <v>403</v>
      </c>
      <c r="F69" s="18" t="s">
        <v>257</v>
      </c>
      <c r="H69" s="18" t="s">
        <v>258</v>
      </c>
      <c r="J69" s="18" t="s">
        <v>74</v>
      </c>
      <c r="L69" s="20" t="s">
        <v>128</v>
      </c>
      <c r="P69" s="18" t="s">
        <v>82</v>
      </c>
      <c r="Q69" s="18" t="s">
        <v>250</v>
      </c>
      <c r="R69" s="21" t="s">
        <v>251</v>
      </c>
      <c r="T69" s="18">
        <v>0.02</v>
      </c>
      <c r="U69" s="18" t="s">
        <v>270</v>
      </c>
      <c r="X69" s="18" t="s">
        <v>169</v>
      </c>
      <c r="AA69" s="18" t="s">
        <v>262</v>
      </c>
      <c r="AC69" s="18">
        <v>1</v>
      </c>
      <c r="AD69" s="18">
        <v>1</v>
      </c>
      <c r="AJ69" s="18">
        <v>1190</v>
      </c>
      <c r="AM69" s="18">
        <v>327</v>
      </c>
      <c r="AN69" s="18">
        <v>254</v>
      </c>
      <c r="AP69" s="18" t="s">
        <v>269</v>
      </c>
      <c r="AQ69" s="18">
        <f t="shared" si="2"/>
        <v>0.2134453781512605</v>
      </c>
      <c r="AR69" s="18">
        <f t="shared" si="3"/>
        <v>18.72</v>
      </c>
    </row>
    <row r="70" spans="1:51" s="18" customFormat="1">
      <c r="A70" s="18" t="s">
        <v>80</v>
      </c>
      <c r="B70" s="18" t="s">
        <v>253</v>
      </c>
      <c r="C70" s="18" t="s">
        <v>166</v>
      </c>
      <c r="D70" s="20" t="s">
        <v>260</v>
      </c>
      <c r="E70" s="20" t="s">
        <v>403</v>
      </c>
      <c r="F70" s="18" t="s">
        <v>257</v>
      </c>
      <c r="H70" s="18" t="s">
        <v>258</v>
      </c>
      <c r="J70" s="18" t="s">
        <v>74</v>
      </c>
      <c r="L70" s="20" t="s">
        <v>128</v>
      </c>
      <c r="P70" s="18" t="s">
        <v>82</v>
      </c>
      <c r="Q70" s="18" t="s">
        <v>250</v>
      </c>
      <c r="R70" s="21" t="s">
        <v>251</v>
      </c>
      <c r="T70" s="18">
        <v>0.02</v>
      </c>
      <c r="U70" s="18" t="s">
        <v>270</v>
      </c>
      <c r="X70" s="18" t="s">
        <v>169</v>
      </c>
      <c r="AC70" s="18">
        <v>1</v>
      </c>
      <c r="AD70" s="18">
        <v>1</v>
      </c>
      <c r="AJ70" s="18">
        <v>1111</v>
      </c>
      <c r="AM70" s="18">
        <v>441</v>
      </c>
      <c r="AN70" s="18">
        <v>405</v>
      </c>
      <c r="AP70" s="18" t="s">
        <v>269</v>
      </c>
      <c r="AQ70" s="18">
        <f t="shared" si="2"/>
        <v>0.36453645364536452</v>
      </c>
      <c r="AR70" s="18">
        <f t="shared" si="3"/>
        <v>14.12</v>
      </c>
    </row>
    <row r="71" spans="1:51" s="18" customFormat="1">
      <c r="A71" s="18" t="s">
        <v>80</v>
      </c>
      <c r="B71" s="18" t="s">
        <v>259</v>
      </c>
      <c r="C71" s="18" t="s">
        <v>166</v>
      </c>
      <c r="D71" s="20" t="s">
        <v>260</v>
      </c>
      <c r="E71" s="20" t="s">
        <v>403</v>
      </c>
      <c r="F71" s="18" t="s">
        <v>257</v>
      </c>
      <c r="H71" s="18" t="s">
        <v>258</v>
      </c>
      <c r="J71" s="18" t="s">
        <v>74</v>
      </c>
      <c r="L71" s="20" t="s">
        <v>128</v>
      </c>
      <c r="P71" s="18" t="s">
        <v>82</v>
      </c>
      <c r="Q71" s="18" t="s">
        <v>250</v>
      </c>
      <c r="R71" s="21" t="s">
        <v>251</v>
      </c>
      <c r="T71" s="18">
        <v>0.02</v>
      </c>
      <c r="U71" s="18" t="s">
        <v>270</v>
      </c>
      <c r="X71" s="18" t="s">
        <v>169</v>
      </c>
      <c r="AA71" s="18" t="s">
        <v>263</v>
      </c>
      <c r="AC71" s="18">
        <v>1</v>
      </c>
      <c r="AD71" s="18">
        <v>1</v>
      </c>
      <c r="AJ71" s="18">
        <v>1159</v>
      </c>
      <c r="AM71" s="18">
        <v>468</v>
      </c>
      <c r="AN71" s="20">
        <v>405</v>
      </c>
      <c r="AP71" s="18" t="s">
        <v>269</v>
      </c>
      <c r="AQ71" s="18">
        <f t="shared" si="2"/>
        <v>0.34943917169974115</v>
      </c>
      <c r="AR71" s="18">
        <f t="shared" si="3"/>
        <v>15.08</v>
      </c>
    </row>
    <row r="72" spans="1:51">
      <c r="A72" t="s">
        <v>80</v>
      </c>
      <c r="B72" t="s">
        <v>277</v>
      </c>
      <c r="C72" t="s">
        <v>166</v>
      </c>
      <c r="D72" s="11" t="s">
        <v>275</v>
      </c>
      <c r="E72" s="11" t="s">
        <v>403</v>
      </c>
      <c r="H72" t="s">
        <v>274</v>
      </c>
      <c r="J72" t="s">
        <v>74</v>
      </c>
      <c r="L72" s="11" t="s">
        <v>128</v>
      </c>
      <c r="P72" t="s">
        <v>82</v>
      </c>
      <c r="Q72" t="s">
        <v>271</v>
      </c>
      <c r="R72" s="7" t="s">
        <v>272</v>
      </c>
      <c r="T72">
        <v>0</v>
      </c>
      <c r="U72">
        <v>3</v>
      </c>
      <c r="V72">
        <v>0.2</v>
      </c>
      <c r="AA72" t="s">
        <v>278</v>
      </c>
      <c r="AC72">
        <v>0.25</v>
      </c>
      <c r="AD72">
        <v>0.25</v>
      </c>
      <c r="AE72">
        <v>111</v>
      </c>
      <c r="AF72">
        <v>111</v>
      </c>
      <c r="AH72">
        <v>446</v>
      </c>
      <c r="AJ72">
        <v>676</v>
      </c>
      <c r="AM72">
        <v>449</v>
      </c>
      <c r="AS72">
        <v>0.27</v>
      </c>
      <c r="AT72">
        <v>0.4</v>
      </c>
      <c r="AU72">
        <v>1.2</v>
      </c>
    </row>
    <row r="73" spans="1:51">
      <c r="A73" t="s">
        <v>80</v>
      </c>
      <c r="B73" t="s">
        <v>273</v>
      </c>
      <c r="C73" t="s">
        <v>166</v>
      </c>
      <c r="D73" s="11" t="s">
        <v>276</v>
      </c>
      <c r="E73" s="11" t="s">
        <v>403</v>
      </c>
      <c r="F73" t="s">
        <v>279</v>
      </c>
      <c r="H73" t="s">
        <v>280</v>
      </c>
      <c r="J73" t="s">
        <v>74</v>
      </c>
      <c r="L73" s="11" t="s">
        <v>128</v>
      </c>
      <c r="P73" t="s">
        <v>82</v>
      </c>
      <c r="Q73" t="s">
        <v>271</v>
      </c>
      <c r="R73" s="7" t="s">
        <v>272</v>
      </c>
      <c r="T73">
        <v>0</v>
      </c>
      <c r="U73">
        <v>3</v>
      </c>
      <c r="V73">
        <v>0.2</v>
      </c>
      <c r="AA73" t="s">
        <v>136</v>
      </c>
      <c r="AC73">
        <v>0.25</v>
      </c>
      <c r="AD73">
        <v>0.25</v>
      </c>
      <c r="AE73">
        <v>188</v>
      </c>
      <c r="AF73">
        <v>188</v>
      </c>
      <c r="AH73">
        <v>755</v>
      </c>
      <c r="AJ73">
        <v>722</v>
      </c>
      <c r="AM73">
        <v>378</v>
      </c>
      <c r="AS73">
        <v>0.27</v>
      </c>
      <c r="AT73">
        <v>0.5</v>
      </c>
      <c r="AU73">
        <v>1.3</v>
      </c>
      <c r="AV73">
        <v>1.032</v>
      </c>
    </row>
    <row r="74" spans="1:51">
      <c r="A74" t="s">
        <v>80</v>
      </c>
      <c r="B74" t="s">
        <v>273</v>
      </c>
      <c r="C74" t="s">
        <v>166</v>
      </c>
      <c r="D74" s="11" t="s">
        <v>282</v>
      </c>
      <c r="E74" s="11" t="s">
        <v>403</v>
      </c>
      <c r="F74" t="s">
        <v>283</v>
      </c>
      <c r="H74" t="s">
        <v>281</v>
      </c>
      <c r="J74" t="s">
        <v>74</v>
      </c>
      <c r="L74" s="11" t="s">
        <v>84</v>
      </c>
      <c r="P74" t="s">
        <v>82</v>
      </c>
      <c r="Q74" t="s">
        <v>284</v>
      </c>
      <c r="R74" s="7" t="s">
        <v>285</v>
      </c>
      <c r="T74">
        <v>0.01</v>
      </c>
      <c r="U74">
        <v>3</v>
      </c>
      <c r="V74">
        <v>1.5</v>
      </c>
      <c r="X74" t="s">
        <v>169</v>
      </c>
      <c r="AA74" t="s">
        <v>136</v>
      </c>
      <c r="AC74" s="12">
        <v>0.05</v>
      </c>
      <c r="AD74">
        <v>0.05</v>
      </c>
      <c r="AE74">
        <v>35.5</v>
      </c>
      <c r="AF74">
        <v>35.5</v>
      </c>
      <c r="AH74">
        <v>755</v>
      </c>
      <c r="AJ74">
        <v>1056</v>
      </c>
      <c r="AM74">
        <v>584</v>
      </c>
      <c r="AN74">
        <v>576</v>
      </c>
      <c r="AO74">
        <v>608</v>
      </c>
      <c r="AQ74">
        <f t="shared" ref="AQ74:AQ83" si="4">AN74/AJ74</f>
        <v>0.54545454545454541</v>
      </c>
      <c r="AR74">
        <f t="shared" ref="AR74:AR83" si="5">(AJ74-AN74)/50</f>
        <v>9.6</v>
      </c>
      <c r="AS74">
        <v>0.15</v>
      </c>
      <c r="AT74">
        <v>0.6</v>
      </c>
      <c r="AU74">
        <v>1.2</v>
      </c>
      <c r="AV74">
        <v>1.032</v>
      </c>
      <c r="AW74" t="s">
        <v>450</v>
      </c>
      <c r="AX74">
        <f>AN74*(AT74+(AU74-AT74)/2)</f>
        <v>518.4</v>
      </c>
    </row>
    <row r="75" spans="1:51">
      <c r="A75" t="s">
        <v>80</v>
      </c>
      <c r="B75" t="s">
        <v>288</v>
      </c>
      <c r="C75" t="s">
        <v>166</v>
      </c>
      <c r="D75" s="11" t="s">
        <v>291</v>
      </c>
      <c r="E75" s="11" t="s">
        <v>403</v>
      </c>
      <c r="H75" t="s">
        <v>161</v>
      </c>
      <c r="J75" t="s">
        <v>74</v>
      </c>
      <c r="L75" s="11" t="s">
        <v>84</v>
      </c>
      <c r="P75" t="s">
        <v>82</v>
      </c>
      <c r="Q75" t="s">
        <v>289</v>
      </c>
      <c r="R75" s="7" t="s">
        <v>290</v>
      </c>
      <c r="T75">
        <v>0.01</v>
      </c>
      <c r="U75">
        <v>3</v>
      </c>
      <c r="V75">
        <v>5</v>
      </c>
      <c r="X75" t="s">
        <v>169</v>
      </c>
      <c r="AA75" t="s">
        <v>294</v>
      </c>
      <c r="AC75">
        <v>0.1</v>
      </c>
      <c r="AD75">
        <v>0.1</v>
      </c>
      <c r="AE75">
        <v>100</v>
      </c>
      <c r="AF75">
        <v>100</v>
      </c>
      <c r="AH75">
        <v>1005</v>
      </c>
      <c r="AJ75">
        <v>1080</v>
      </c>
      <c r="AM75">
        <v>350</v>
      </c>
      <c r="AN75">
        <v>300</v>
      </c>
      <c r="AQ75">
        <f t="shared" si="4"/>
        <v>0.27777777777777779</v>
      </c>
      <c r="AR75">
        <f t="shared" si="5"/>
        <v>15.6</v>
      </c>
      <c r="AS75">
        <v>0.8</v>
      </c>
      <c r="AU75">
        <v>1.6</v>
      </c>
      <c r="AV75">
        <v>1.631</v>
      </c>
      <c r="AW75" t="s">
        <v>451</v>
      </c>
    </row>
    <row r="76" spans="1:51">
      <c r="A76" t="s">
        <v>80</v>
      </c>
      <c r="B76" t="s">
        <v>288</v>
      </c>
      <c r="C76" t="s">
        <v>166</v>
      </c>
      <c r="D76" s="11" t="s">
        <v>292</v>
      </c>
      <c r="E76" s="11" t="s">
        <v>403</v>
      </c>
      <c r="H76" t="s">
        <v>293</v>
      </c>
      <c r="J76" t="s">
        <v>74</v>
      </c>
      <c r="L76" s="11" t="s">
        <v>84</v>
      </c>
      <c r="P76" t="s">
        <v>82</v>
      </c>
      <c r="Q76" t="s">
        <v>289</v>
      </c>
      <c r="R76" s="7" t="s">
        <v>290</v>
      </c>
      <c r="T76">
        <v>0.01</v>
      </c>
      <c r="U76">
        <v>3</v>
      </c>
      <c r="V76">
        <v>2.5000000000000001E-2</v>
      </c>
      <c r="X76" t="s">
        <v>169</v>
      </c>
      <c r="AA76" t="s">
        <v>294</v>
      </c>
      <c r="AC76">
        <v>0.1</v>
      </c>
      <c r="AD76">
        <v>0.1</v>
      </c>
      <c r="AE76">
        <v>100</v>
      </c>
      <c r="AF76">
        <v>100</v>
      </c>
      <c r="AH76">
        <v>1005</v>
      </c>
      <c r="AJ76">
        <v>1280</v>
      </c>
      <c r="AM76">
        <v>955</v>
      </c>
      <c r="AN76">
        <v>1043</v>
      </c>
      <c r="AQ76">
        <f t="shared" si="4"/>
        <v>0.81484374999999998</v>
      </c>
      <c r="AR76">
        <f t="shared" si="5"/>
        <v>4.74</v>
      </c>
      <c r="AV76">
        <v>1.631</v>
      </c>
      <c r="AW76" t="s">
        <v>452</v>
      </c>
    </row>
    <row r="77" spans="1:51">
      <c r="A77" t="s">
        <v>80</v>
      </c>
      <c r="B77" t="s">
        <v>299</v>
      </c>
      <c r="C77" t="s">
        <v>166</v>
      </c>
      <c r="D77" s="11" t="s">
        <v>297</v>
      </c>
      <c r="E77" s="11" t="s">
        <v>495</v>
      </c>
      <c r="H77" t="s">
        <v>72</v>
      </c>
      <c r="J77" t="s">
        <v>74</v>
      </c>
      <c r="L77" s="11" t="s">
        <v>84</v>
      </c>
      <c r="P77" t="s">
        <v>82</v>
      </c>
      <c r="Q77" t="s">
        <v>295</v>
      </c>
      <c r="R77" s="7" t="s">
        <v>296</v>
      </c>
      <c r="T77">
        <v>0.01</v>
      </c>
      <c r="U77">
        <v>3</v>
      </c>
      <c r="X77" t="s">
        <v>169</v>
      </c>
      <c r="Y77" t="s">
        <v>298</v>
      </c>
      <c r="AC77">
        <v>0.2</v>
      </c>
      <c r="AD77">
        <v>0.2</v>
      </c>
      <c r="AJ77">
        <v>1158</v>
      </c>
      <c r="AM77">
        <v>946</v>
      </c>
      <c r="AV77">
        <v>1.905</v>
      </c>
    </row>
    <row r="78" spans="1:51" s="18" customFormat="1">
      <c r="A78" s="18" t="s">
        <v>80</v>
      </c>
      <c r="B78" s="18" t="s">
        <v>300</v>
      </c>
      <c r="C78" s="18" t="s">
        <v>166</v>
      </c>
      <c r="D78" s="20" t="s">
        <v>297</v>
      </c>
      <c r="E78" s="20" t="s">
        <v>494</v>
      </c>
      <c r="H78" s="18" t="s">
        <v>72</v>
      </c>
      <c r="J78" s="18" t="s">
        <v>74</v>
      </c>
      <c r="L78" s="20" t="s">
        <v>84</v>
      </c>
      <c r="P78" s="18" t="s">
        <v>82</v>
      </c>
      <c r="Q78" s="18" t="s">
        <v>295</v>
      </c>
      <c r="R78" s="21" t="s">
        <v>296</v>
      </c>
      <c r="T78" s="18">
        <v>0.01</v>
      </c>
      <c r="U78" s="18">
        <v>3</v>
      </c>
      <c r="V78" s="18">
        <v>0.15</v>
      </c>
      <c r="X78" s="18" t="s">
        <v>169</v>
      </c>
      <c r="Y78" s="18" t="s">
        <v>298</v>
      </c>
      <c r="AC78" s="18">
        <v>0.2</v>
      </c>
      <c r="AD78" s="18">
        <v>0.2</v>
      </c>
      <c r="AE78" s="18">
        <v>143</v>
      </c>
      <c r="AF78" s="18">
        <v>143</v>
      </c>
      <c r="AH78" s="18">
        <v>715</v>
      </c>
      <c r="AJ78" s="18">
        <v>893</v>
      </c>
      <c r="AM78" s="18">
        <v>701</v>
      </c>
      <c r="AN78" s="18">
        <v>600</v>
      </c>
      <c r="AQ78" s="18">
        <f t="shared" si="4"/>
        <v>0.67189249720044797</v>
      </c>
      <c r="AR78" s="18">
        <f t="shared" si="5"/>
        <v>5.86</v>
      </c>
      <c r="AS78" s="18">
        <v>0.9</v>
      </c>
      <c r="AT78" s="18">
        <v>1.2</v>
      </c>
      <c r="AU78" s="18">
        <v>2.2000000000000002</v>
      </c>
      <c r="AV78" s="18">
        <v>1.802</v>
      </c>
      <c r="AW78" s="18" t="s">
        <v>453</v>
      </c>
      <c r="AX78">
        <f>AN78*(AT78+(AU78-AT78)/2)</f>
        <v>1020.0000000000001</v>
      </c>
      <c r="AY78"/>
    </row>
    <row r="79" spans="1:51" s="18" customFormat="1">
      <c r="A79" s="18" t="s">
        <v>80</v>
      </c>
      <c r="B79" s="18" t="s">
        <v>301</v>
      </c>
      <c r="C79" s="18" t="s">
        <v>166</v>
      </c>
      <c r="D79" s="20" t="s">
        <v>297</v>
      </c>
      <c r="E79" s="20" t="s">
        <v>494</v>
      </c>
      <c r="H79" s="18" t="s">
        <v>72</v>
      </c>
      <c r="J79" s="18" t="s">
        <v>74</v>
      </c>
      <c r="L79" s="20" t="s">
        <v>84</v>
      </c>
      <c r="P79" s="18" t="s">
        <v>82</v>
      </c>
      <c r="Q79" s="18" t="s">
        <v>295</v>
      </c>
      <c r="R79" s="21" t="s">
        <v>296</v>
      </c>
      <c r="T79" s="18">
        <v>0.01</v>
      </c>
      <c r="U79" s="18">
        <v>3</v>
      </c>
      <c r="X79" s="18" t="s">
        <v>169</v>
      </c>
      <c r="Y79" s="18" t="s">
        <v>298</v>
      </c>
      <c r="AC79" s="18">
        <v>0.2</v>
      </c>
      <c r="AD79" s="18">
        <v>0.2</v>
      </c>
      <c r="AE79" s="18">
        <v>149</v>
      </c>
      <c r="AF79" s="18">
        <v>149</v>
      </c>
      <c r="AH79" s="18">
        <v>746</v>
      </c>
      <c r="AJ79" s="18">
        <v>1174</v>
      </c>
      <c r="AM79" s="18">
        <v>477</v>
      </c>
      <c r="AN79" s="18">
        <v>293</v>
      </c>
      <c r="AQ79" s="18">
        <f t="shared" si="4"/>
        <v>0.24957410562180579</v>
      </c>
      <c r="AR79" s="18">
        <f t="shared" si="5"/>
        <v>17.62</v>
      </c>
      <c r="AS79" s="18">
        <v>0.6</v>
      </c>
      <c r="AT79" s="18">
        <v>1</v>
      </c>
      <c r="AU79" s="18">
        <v>2</v>
      </c>
      <c r="AV79" s="18">
        <v>1.61</v>
      </c>
      <c r="AX79">
        <f>AN79*(AT79+(AU79-AT79)/2)</f>
        <v>439.5</v>
      </c>
      <c r="AY79"/>
    </row>
    <row r="80" spans="1:51" s="18" customFormat="1">
      <c r="A80" s="18" t="s">
        <v>80</v>
      </c>
      <c r="B80" s="18" t="s">
        <v>68</v>
      </c>
      <c r="C80" s="18" t="s">
        <v>166</v>
      </c>
      <c r="D80" s="20" t="s">
        <v>297</v>
      </c>
      <c r="E80" s="20" t="s">
        <v>494</v>
      </c>
      <c r="H80" s="18" t="s">
        <v>72</v>
      </c>
      <c r="J80" s="18" t="s">
        <v>74</v>
      </c>
      <c r="L80" s="20" t="s">
        <v>84</v>
      </c>
      <c r="P80" s="18" t="s">
        <v>82</v>
      </c>
      <c r="Q80" s="18" t="s">
        <v>295</v>
      </c>
      <c r="R80" s="21" t="s">
        <v>296</v>
      </c>
      <c r="T80" s="18">
        <v>0.01</v>
      </c>
      <c r="U80" s="18">
        <v>3</v>
      </c>
      <c r="X80" s="18" t="s">
        <v>169</v>
      </c>
      <c r="Y80" s="18" t="s">
        <v>298</v>
      </c>
      <c r="AC80" s="18">
        <v>0.2</v>
      </c>
      <c r="AD80" s="18">
        <v>0.2</v>
      </c>
      <c r="AE80" s="18">
        <v>143</v>
      </c>
      <c r="AF80" s="18">
        <v>143</v>
      </c>
      <c r="AH80" s="18">
        <v>718</v>
      </c>
      <c r="AJ80" s="18">
        <v>966</v>
      </c>
      <c r="AM80" s="18">
        <v>430</v>
      </c>
      <c r="AN80" s="18">
        <v>214</v>
      </c>
      <c r="AQ80" s="18">
        <f t="shared" si="4"/>
        <v>0.22153209109730848</v>
      </c>
      <c r="AR80" s="18">
        <f t="shared" si="5"/>
        <v>15.04</v>
      </c>
      <c r="AS80" s="18">
        <v>0.5</v>
      </c>
      <c r="AT80" s="18">
        <v>1</v>
      </c>
      <c r="AU80" s="18">
        <v>2.2000000000000002</v>
      </c>
      <c r="AV80" s="18">
        <v>1.954</v>
      </c>
      <c r="AX80">
        <f>AN80*(AT80+(AU80-AT80)/2)</f>
        <v>342.40000000000003</v>
      </c>
      <c r="AY80"/>
    </row>
    <row r="81" spans="1:51">
      <c r="A81" t="s">
        <v>80</v>
      </c>
      <c r="B81" t="s">
        <v>300</v>
      </c>
      <c r="C81" t="s">
        <v>166</v>
      </c>
      <c r="D81" s="11" t="s">
        <v>297</v>
      </c>
      <c r="E81" s="11" t="s">
        <v>494</v>
      </c>
      <c r="H81" t="s">
        <v>108</v>
      </c>
      <c r="J81" t="s">
        <v>74</v>
      </c>
      <c r="L81" s="11" t="s">
        <v>84</v>
      </c>
      <c r="P81" t="s">
        <v>82</v>
      </c>
      <c r="Q81" t="s">
        <v>295</v>
      </c>
      <c r="R81" s="7" t="s">
        <v>296</v>
      </c>
      <c r="T81">
        <v>0.01</v>
      </c>
      <c r="U81">
        <v>3</v>
      </c>
      <c r="V81">
        <v>2</v>
      </c>
      <c r="X81" t="s">
        <v>169</v>
      </c>
      <c r="Y81" t="s">
        <v>298</v>
      </c>
      <c r="AC81">
        <v>0.2</v>
      </c>
      <c r="AD81">
        <v>0.2</v>
      </c>
      <c r="AE81">
        <v>143</v>
      </c>
      <c r="AF81">
        <v>143</v>
      </c>
      <c r="AH81">
        <v>715</v>
      </c>
      <c r="AJ81">
        <v>670</v>
      </c>
      <c r="AM81">
        <v>778</v>
      </c>
      <c r="AN81">
        <v>800</v>
      </c>
      <c r="AO81">
        <v>789</v>
      </c>
      <c r="AQ81">
        <f t="shared" si="4"/>
        <v>1.1940298507462686</v>
      </c>
      <c r="AR81">
        <f t="shared" si="5"/>
        <v>-2.6</v>
      </c>
      <c r="AV81">
        <v>1.802</v>
      </c>
    </row>
    <row r="82" spans="1:51">
      <c r="A82" t="s">
        <v>80</v>
      </c>
      <c r="B82" t="s">
        <v>302</v>
      </c>
      <c r="C82" t="s">
        <v>166</v>
      </c>
      <c r="D82" s="11" t="s">
        <v>297</v>
      </c>
      <c r="E82" s="11" t="s">
        <v>494</v>
      </c>
      <c r="H82" t="s">
        <v>303</v>
      </c>
      <c r="J82" t="s">
        <v>74</v>
      </c>
      <c r="L82" s="11" t="s">
        <v>84</v>
      </c>
      <c r="P82" t="s">
        <v>82</v>
      </c>
      <c r="Q82" t="s">
        <v>295</v>
      </c>
      <c r="R82" s="7" t="s">
        <v>296</v>
      </c>
      <c r="T82">
        <v>0.01</v>
      </c>
      <c r="U82">
        <v>3</v>
      </c>
      <c r="V82">
        <v>1</v>
      </c>
      <c r="X82" t="s">
        <v>169</v>
      </c>
      <c r="Y82" t="s">
        <v>298</v>
      </c>
      <c r="AC82">
        <v>0.2</v>
      </c>
      <c r="AD82">
        <v>0.2</v>
      </c>
      <c r="AE82">
        <v>88</v>
      </c>
      <c r="AF82">
        <v>88</v>
      </c>
      <c r="AH82">
        <v>375</v>
      </c>
      <c r="AJ82">
        <v>438</v>
      </c>
      <c r="AM82">
        <v>302</v>
      </c>
      <c r="AN82">
        <v>207</v>
      </c>
      <c r="AQ82">
        <f t="shared" si="4"/>
        <v>0.4726027397260274</v>
      </c>
      <c r="AR82">
        <f t="shared" si="5"/>
        <v>4.62</v>
      </c>
      <c r="AV82">
        <v>2.1469999999999998</v>
      </c>
    </row>
    <row r="83" spans="1:51">
      <c r="A83" t="s">
        <v>80</v>
      </c>
      <c r="B83" t="s">
        <v>302</v>
      </c>
      <c r="C83" t="s">
        <v>166</v>
      </c>
      <c r="D83" s="11" t="s">
        <v>297</v>
      </c>
      <c r="E83" s="11" t="s">
        <v>494</v>
      </c>
      <c r="H83" t="s">
        <v>303</v>
      </c>
      <c r="J83" t="s">
        <v>74</v>
      </c>
      <c r="L83" s="11" t="s">
        <v>84</v>
      </c>
      <c r="P83" t="s">
        <v>82</v>
      </c>
      <c r="Q83" t="s">
        <v>295</v>
      </c>
      <c r="R83" s="7" t="s">
        <v>296</v>
      </c>
      <c r="T83">
        <v>0.01</v>
      </c>
      <c r="U83">
        <v>3</v>
      </c>
      <c r="V83">
        <v>0.15</v>
      </c>
      <c r="X83" t="s">
        <v>169</v>
      </c>
      <c r="Y83" t="s">
        <v>298</v>
      </c>
      <c r="AC83">
        <v>0.2</v>
      </c>
      <c r="AD83">
        <v>0.2</v>
      </c>
      <c r="AE83">
        <v>72</v>
      </c>
      <c r="AF83">
        <v>72</v>
      </c>
      <c r="AH83">
        <v>360</v>
      </c>
      <c r="AJ83">
        <v>362</v>
      </c>
      <c r="AM83">
        <v>342</v>
      </c>
      <c r="AN83">
        <v>374</v>
      </c>
      <c r="AO83">
        <v>363</v>
      </c>
      <c r="AQ83">
        <f t="shared" si="4"/>
        <v>1.0331491712707181</v>
      </c>
      <c r="AR83">
        <f t="shared" si="5"/>
        <v>-0.24</v>
      </c>
      <c r="AV83">
        <v>2.1469999999999998</v>
      </c>
    </row>
    <row r="84" spans="1:51">
      <c r="A84" t="s">
        <v>80</v>
      </c>
      <c r="B84" t="s">
        <v>300</v>
      </c>
      <c r="C84" t="s">
        <v>166</v>
      </c>
      <c r="D84" s="11" t="s">
        <v>317</v>
      </c>
      <c r="E84" s="11" t="s">
        <v>403</v>
      </c>
      <c r="F84" t="s">
        <v>307</v>
      </c>
      <c r="H84" t="s">
        <v>306</v>
      </c>
      <c r="J84" t="s">
        <v>74</v>
      </c>
      <c r="L84" s="11" t="s">
        <v>128</v>
      </c>
      <c r="P84" t="s">
        <v>82</v>
      </c>
      <c r="Q84" t="s">
        <v>304</v>
      </c>
      <c r="R84" s="7" t="s">
        <v>305</v>
      </c>
      <c r="T84">
        <v>0.02</v>
      </c>
      <c r="U84">
        <v>3</v>
      </c>
      <c r="V84">
        <v>6.5900000000000004E-3</v>
      </c>
      <c r="W84">
        <v>89.83</v>
      </c>
      <c r="X84" t="s">
        <v>98</v>
      </c>
      <c r="Y84" t="s">
        <v>163</v>
      </c>
      <c r="AC84">
        <v>0.1</v>
      </c>
      <c r="AD84">
        <v>0.1</v>
      </c>
      <c r="AE84">
        <f>AC84*AH84</f>
        <v>71.540000000000006</v>
      </c>
      <c r="AF84">
        <v>71.540000000000006</v>
      </c>
      <c r="AH84">
        <v>715.4</v>
      </c>
      <c r="AJ84">
        <v>1277</v>
      </c>
      <c r="AM84">
        <v>1240</v>
      </c>
      <c r="AV84">
        <v>1.802</v>
      </c>
    </row>
    <row r="85" spans="1:51">
      <c r="A85" t="s">
        <v>80</v>
      </c>
      <c r="B85" t="s">
        <v>300</v>
      </c>
      <c r="C85" t="s">
        <v>166</v>
      </c>
      <c r="D85" s="11" t="s">
        <v>317</v>
      </c>
      <c r="E85" s="11" t="s">
        <v>403</v>
      </c>
      <c r="F85" t="s">
        <v>308</v>
      </c>
      <c r="H85" t="s">
        <v>306</v>
      </c>
      <c r="J85" t="s">
        <v>74</v>
      </c>
      <c r="L85" s="11" t="s">
        <v>128</v>
      </c>
      <c r="P85" t="s">
        <v>82</v>
      </c>
      <c r="Q85" t="s">
        <v>304</v>
      </c>
      <c r="R85" s="7" t="s">
        <v>305</v>
      </c>
      <c r="T85">
        <v>0.02</v>
      </c>
      <c r="U85">
        <v>3</v>
      </c>
      <c r="V85">
        <v>6.77E-3</v>
      </c>
      <c r="W85">
        <v>68.040000000000006</v>
      </c>
      <c r="X85" t="s">
        <v>98</v>
      </c>
      <c r="Y85" t="s">
        <v>163</v>
      </c>
      <c r="AC85">
        <v>0.1</v>
      </c>
      <c r="AD85">
        <v>0.1</v>
      </c>
      <c r="AE85">
        <v>71.540000000000006</v>
      </c>
      <c r="AF85">
        <v>71.540000000000006</v>
      </c>
      <c r="AH85">
        <v>715.4</v>
      </c>
      <c r="AJ85">
        <v>1311</v>
      </c>
      <c r="AM85">
        <v>1097</v>
      </c>
      <c r="AS85">
        <v>0.9</v>
      </c>
      <c r="AV85">
        <v>1.802</v>
      </c>
    </row>
    <row r="86" spans="1:51">
      <c r="A86" t="s">
        <v>80</v>
      </c>
      <c r="B86" t="s">
        <v>300</v>
      </c>
      <c r="C86" t="s">
        <v>166</v>
      </c>
      <c r="D86" s="11" t="s">
        <v>317</v>
      </c>
      <c r="E86" s="11" t="s">
        <v>403</v>
      </c>
      <c r="F86" t="s">
        <v>309</v>
      </c>
      <c r="H86" t="s">
        <v>306</v>
      </c>
      <c r="J86" t="s">
        <v>74</v>
      </c>
      <c r="L86" s="11" t="s">
        <v>128</v>
      </c>
      <c r="P86" t="s">
        <v>82</v>
      </c>
      <c r="Q86" t="s">
        <v>304</v>
      </c>
      <c r="R86" s="7" t="s">
        <v>305</v>
      </c>
      <c r="T86">
        <v>0.02</v>
      </c>
      <c r="U86">
        <v>3</v>
      </c>
      <c r="V86">
        <v>1.4200000000000001E-2</v>
      </c>
      <c r="W86">
        <v>36.81</v>
      </c>
      <c r="X86" t="s">
        <v>98</v>
      </c>
      <c r="Y86" t="s">
        <v>163</v>
      </c>
      <c r="AC86">
        <v>0.1</v>
      </c>
      <c r="AD86">
        <v>0.1</v>
      </c>
      <c r="AE86">
        <v>71.540000000000006</v>
      </c>
      <c r="AF86">
        <v>71.540000000000006</v>
      </c>
      <c r="AH86">
        <v>715.4</v>
      </c>
      <c r="AJ86">
        <v>1024</v>
      </c>
      <c r="AM86">
        <v>1174</v>
      </c>
      <c r="AV86">
        <v>1.802</v>
      </c>
    </row>
    <row r="87" spans="1:51">
      <c r="A87" t="s">
        <v>80</v>
      </c>
      <c r="B87" t="s">
        <v>300</v>
      </c>
      <c r="C87" t="s">
        <v>166</v>
      </c>
      <c r="D87" s="11" t="s">
        <v>317</v>
      </c>
      <c r="E87" s="11" t="s">
        <v>403</v>
      </c>
      <c r="F87" t="s">
        <v>310</v>
      </c>
      <c r="H87" t="s">
        <v>306</v>
      </c>
      <c r="J87" t="s">
        <v>74</v>
      </c>
      <c r="L87" s="11" t="s">
        <v>128</v>
      </c>
      <c r="P87" t="s">
        <v>82</v>
      </c>
      <c r="Q87" t="s">
        <v>304</v>
      </c>
      <c r="R87" s="7" t="s">
        <v>305</v>
      </c>
      <c r="T87">
        <v>0.02</v>
      </c>
      <c r="U87">
        <v>3</v>
      </c>
      <c r="V87">
        <v>2.63E-2</v>
      </c>
      <c r="W87">
        <v>16.489999999999998</v>
      </c>
      <c r="X87" t="s">
        <v>98</v>
      </c>
      <c r="Y87" t="s">
        <v>163</v>
      </c>
      <c r="AC87">
        <v>0.1</v>
      </c>
      <c r="AD87">
        <v>0.1</v>
      </c>
      <c r="AE87">
        <v>71.540000000000006</v>
      </c>
      <c r="AF87">
        <v>71.540000000000006</v>
      </c>
      <c r="AH87">
        <v>715.4</v>
      </c>
      <c r="AJ87">
        <v>948</v>
      </c>
      <c r="AM87">
        <v>1179</v>
      </c>
      <c r="AN87">
        <v>1173</v>
      </c>
      <c r="AP87" t="s">
        <v>315</v>
      </c>
      <c r="AQ87">
        <f>AN87/AJ87</f>
        <v>1.2373417721518987</v>
      </c>
      <c r="AR87">
        <f>(AJ87-AN87)/50</f>
        <v>-4.5</v>
      </c>
      <c r="AV87">
        <v>1.802</v>
      </c>
    </row>
    <row r="88" spans="1:51">
      <c r="A88" t="s">
        <v>80</v>
      </c>
      <c r="B88" t="s">
        <v>300</v>
      </c>
      <c r="C88" t="s">
        <v>166</v>
      </c>
      <c r="D88" s="11" t="s">
        <v>317</v>
      </c>
      <c r="E88" s="11" t="s">
        <v>403</v>
      </c>
      <c r="F88" t="s">
        <v>311</v>
      </c>
      <c r="H88" t="s">
        <v>306</v>
      </c>
      <c r="J88" t="s">
        <v>74</v>
      </c>
      <c r="L88" s="11" t="s">
        <v>128</v>
      </c>
      <c r="P88" t="s">
        <v>82</v>
      </c>
      <c r="Q88" t="s">
        <v>304</v>
      </c>
      <c r="R88" s="7" t="s">
        <v>305</v>
      </c>
      <c r="T88">
        <v>0.02</v>
      </c>
      <c r="U88">
        <v>3</v>
      </c>
      <c r="V88">
        <v>2.7300000000000001E-2</v>
      </c>
      <c r="W88">
        <v>9.18</v>
      </c>
      <c r="X88" t="s">
        <v>98</v>
      </c>
      <c r="Y88" t="s">
        <v>163</v>
      </c>
      <c r="AC88">
        <v>0.1</v>
      </c>
      <c r="AD88">
        <v>0.1</v>
      </c>
      <c r="AE88">
        <v>71.540000000000006</v>
      </c>
      <c r="AF88">
        <v>71.540000000000006</v>
      </c>
      <c r="AH88">
        <v>715.4</v>
      </c>
      <c r="AJ88">
        <v>979</v>
      </c>
      <c r="AM88">
        <v>993</v>
      </c>
      <c r="AN88">
        <v>1016</v>
      </c>
      <c r="AP88" t="s">
        <v>265</v>
      </c>
      <c r="AQ88">
        <f>AN88/AJ88</f>
        <v>1.0377936670071501</v>
      </c>
      <c r="AR88">
        <f>(AJ88-AN88)/50</f>
        <v>-0.74</v>
      </c>
      <c r="AS88">
        <v>0.8</v>
      </c>
      <c r="AV88">
        <v>1.802</v>
      </c>
    </row>
    <row r="89" spans="1:51">
      <c r="A89" t="s">
        <v>80</v>
      </c>
      <c r="B89" s="5" t="s">
        <v>300</v>
      </c>
      <c r="C89" t="s">
        <v>166</v>
      </c>
      <c r="D89" s="11" t="s">
        <v>317</v>
      </c>
      <c r="E89" s="11" t="s">
        <v>403</v>
      </c>
      <c r="F89" t="s">
        <v>312</v>
      </c>
      <c r="H89" t="s">
        <v>306</v>
      </c>
      <c r="J89" t="s">
        <v>74</v>
      </c>
      <c r="L89" s="11" t="s">
        <v>128</v>
      </c>
      <c r="P89" t="s">
        <v>82</v>
      </c>
      <c r="Q89" t="s">
        <v>304</v>
      </c>
      <c r="R89" s="7" t="s">
        <v>305</v>
      </c>
      <c r="T89">
        <v>0.02</v>
      </c>
      <c r="U89">
        <v>3</v>
      </c>
      <c r="V89">
        <v>2.8400000000000002E-2</v>
      </c>
      <c r="W89">
        <v>4.32</v>
      </c>
      <c r="X89" t="s">
        <v>98</v>
      </c>
      <c r="Y89" t="s">
        <v>163</v>
      </c>
      <c r="AC89">
        <v>0.1</v>
      </c>
      <c r="AD89">
        <v>0.1</v>
      </c>
      <c r="AE89">
        <v>71.540000000000006</v>
      </c>
      <c r="AF89">
        <v>71.540000000000006</v>
      </c>
      <c r="AH89">
        <v>715.4</v>
      </c>
      <c r="AJ89">
        <v>967</v>
      </c>
      <c r="AM89">
        <v>956</v>
      </c>
      <c r="AV89">
        <v>1.802</v>
      </c>
    </row>
    <row r="90" spans="1:51">
      <c r="A90" t="s">
        <v>80</v>
      </c>
      <c r="B90" s="5" t="s">
        <v>300</v>
      </c>
      <c r="C90" t="s">
        <v>166</v>
      </c>
      <c r="D90" s="11" t="s">
        <v>317</v>
      </c>
      <c r="E90" s="11" t="s">
        <v>403</v>
      </c>
      <c r="F90" t="s">
        <v>313</v>
      </c>
      <c r="H90" t="s">
        <v>306</v>
      </c>
      <c r="J90" t="s">
        <v>74</v>
      </c>
      <c r="L90" s="11" t="s">
        <v>128</v>
      </c>
      <c r="P90" t="s">
        <v>82</v>
      </c>
      <c r="Q90" t="s">
        <v>304</v>
      </c>
      <c r="R90" s="7" t="s">
        <v>305</v>
      </c>
      <c r="T90">
        <v>0.02</v>
      </c>
      <c r="U90">
        <v>3</v>
      </c>
      <c r="V90">
        <v>3.09E-2</v>
      </c>
      <c r="W90">
        <v>1.07</v>
      </c>
      <c r="X90" t="s">
        <v>98</v>
      </c>
      <c r="Y90" t="s">
        <v>163</v>
      </c>
      <c r="AC90">
        <v>0.1</v>
      </c>
      <c r="AD90">
        <v>0.1</v>
      </c>
      <c r="AE90">
        <v>71.540000000000006</v>
      </c>
      <c r="AF90">
        <v>71.540000000000006</v>
      </c>
      <c r="AH90">
        <v>715.4</v>
      </c>
      <c r="AJ90">
        <v>1010</v>
      </c>
      <c r="AM90">
        <v>922</v>
      </c>
      <c r="AV90">
        <v>1.802</v>
      </c>
    </row>
    <row r="91" spans="1:51">
      <c r="A91" t="s">
        <v>80</v>
      </c>
      <c r="B91" s="5" t="s">
        <v>300</v>
      </c>
      <c r="C91" t="s">
        <v>166</v>
      </c>
      <c r="D91" s="11" t="s">
        <v>317</v>
      </c>
      <c r="E91" s="11" t="s">
        <v>403</v>
      </c>
      <c r="F91" t="s">
        <v>314</v>
      </c>
      <c r="H91" t="s">
        <v>306</v>
      </c>
      <c r="J91" t="s">
        <v>74</v>
      </c>
      <c r="L91" s="11" t="s">
        <v>128</v>
      </c>
      <c r="P91" t="s">
        <v>82</v>
      </c>
      <c r="Q91" t="s">
        <v>304</v>
      </c>
      <c r="R91" s="7" t="s">
        <v>305</v>
      </c>
      <c r="T91">
        <v>0.02</v>
      </c>
      <c r="U91">
        <v>3</v>
      </c>
      <c r="V91">
        <v>3.15E-2</v>
      </c>
      <c r="W91">
        <v>0.47</v>
      </c>
      <c r="X91" t="s">
        <v>98</v>
      </c>
      <c r="Y91" t="s">
        <v>163</v>
      </c>
      <c r="AC91">
        <v>0.1</v>
      </c>
      <c r="AD91">
        <v>0.1</v>
      </c>
      <c r="AE91">
        <v>71.540000000000006</v>
      </c>
      <c r="AF91">
        <v>71.540000000000006</v>
      </c>
      <c r="AH91">
        <v>715.4</v>
      </c>
      <c r="AJ91">
        <v>931</v>
      </c>
      <c r="AM91">
        <v>829</v>
      </c>
      <c r="AN91">
        <v>854</v>
      </c>
      <c r="AP91" t="s">
        <v>316</v>
      </c>
      <c r="AQ91">
        <f t="shared" ref="AQ91:AQ105" si="6">AN91/AJ91</f>
        <v>0.91729323308270672</v>
      </c>
      <c r="AR91">
        <f t="shared" ref="AR91:AR105" si="7">(AJ91-AN91)/50</f>
        <v>1.54</v>
      </c>
      <c r="AS91">
        <v>0.7</v>
      </c>
      <c r="AV91">
        <v>1.802</v>
      </c>
    </row>
    <row r="92" spans="1:51">
      <c r="A92" t="s">
        <v>80</v>
      </c>
      <c r="B92" s="5" t="s">
        <v>299</v>
      </c>
      <c r="C92" t="s">
        <v>166</v>
      </c>
      <c r="D92" s="11" t="s">
        <v>318</v>
      </c>
      <c r="E92" s="11" t="s">
        <v>403</v>
      </c>
      <c r="F92" t="s">
        <v>323</v>
      </c>
      <c r="H92" t="s">
        <v>280</v>
      </c>
      <c r="J92" t="s">
        <v>74</v>
      </c>
      <c r="L92" s="11" t="s">
        <v>128</v>
      </c>
      <c r="P92" s="13" t="s">
        <v>82</v>
      </c>
      <c r="Q92" t="s">
        <v>319</v>
      </c>
      <c r="R92" s="7" t="s">
        <v>320</v>
      </c>
      <c r="T92">
        <v>0.01</v>
      </c>
      <c r="U92">
        <v>3</v>
      </c>
      <c r="W92">
        <v>152.1</v>
      </c>
      <c r="Z92" t="s">
        <v>322</v>
      </c>
      <c r="AA92" t="s">
        <v>321</v>
      </c>
      <c r="AC92">
        <v>1.43</v>
      </c>
      <c r="AD92">
        <v>1.43</v>
      </c>
      <c r="AE92">
        <v>150</v>
      </c>
      <c r="AF92">
        <v>150</v>
      </c>
      <c r="AH92">
        <v>890</v>
      </c>
      <c r="AJ92">
        <v>1290</v>
      </c>
      <c r="AM92">
        <v>614</v>
      </c>
      <c r="AN92">
        <v>295</v>
      </c>
      <c r="AP92" t="s">
        <v>327</v>
      </c>
      <c r="AQ92">
        <f t="shared" si="6"/>
        <v>0.22868217054263565</v>
      </c>
      <c r="AR92">
        <f t="shared" si="7"/>
        <v>19.899999999999999</v>
      </c>
      <c r="AS92">
        <v>1</v>
      </c>
      <c r="AU92">
        <v>2</v>
      </c>
      <c r="AV92">
        <v>1.905</v>
      </c>
      <c r="AX92" s="5"/>
      <c r="AY92" s="5"/>
    </row>
    <row r="93" spans="1:51">
      <c r="A93" t="s">
        <v>80</v>
      </c>
      <c r="B93" s="5" t="s">
        <v>299</v>
      </c>
      <c r="C93" t="s">
        <v>166</v>
      </c>
      <c r="D93" s="11" t="s">
        <v>318</v>
      </c>
      <c r="E93" s="11" t="s">
        <v>403</v>
      </c>
      <c r="F93" t="s">
        <v>324</v>
      </c>
      <c r="H93" t="s">
        <v>280</v>
      </c>
      <c r="J93" t="s">
        <v>74</v>
      </c>
      <c r="L93" s="11" t="s">
        <v>128</v>
      </c>
      <c r="P93" s="13" t="s">
        <v>82</v>
      </c>
      <c r="Q93" t="s">
        <v>319</v>
      </c>
      <c r="R93" s="7" t="s">
        <v>320</v>
      </c>
      <c r="T93">
        <v>0.01</v>
      </c>
      <c r="U93">
        <v>3</v>
      </c>
      <c r="W93">
        <v>84.9</v>
      </c>
      <c r="Z93" t="s">
        <v>322</v>
      </c>
      <c r="AA93" t="s">
        <v>321</v>
      </c>
      <c r="AC93">
        <v>1.43</v>
      </c>
      <c r="AD93">
        <v>1.43</v>
      </c>
      <c r="AE93">
        <v>150</v>
      </c>
      <c r="AF93">
        <v>150</v>
      </c>
      <c r="AH93">
        <v>890</v>
      </c>
      <c r="AJ93">
        <v>1290</v>
      </c>
      <c r="AM93">
        <v>1227</v>
      </c>
      <c r="AN93">
        <v>1079</v>
      </c>
      <c r="AQ93">
        <f t="shared" si="6"/>
        <v>0.83643410852713174</v>
      </c>
      <c r="AR93">
        <f t="shared" si="7"/>
        <v>4.22</v>
      </c>
      <c r="AS93">
        <v>1</v>
      </c>
      <c r="AU93">
        <v>2</v>
      </c>
      <c r="AV93">
        <v>1.905</v>
      </c>
    </row>
    <row r="94" spans="1:51">
      <c r="A94" t="s">
        <v>80</v>
      </c>
      <c r="B94" s="5" t="s">
        <v>299</v>
      </c>
      <c r="C94" t="s">
        <v>166</v>
      </c>
      <c r="D94" s="11" t="s">
        <v>318</v>
      </c>
      <c r="E94" s="11" t="s">
        <v>403</v>
      </c>
      <c r="F94" t="s">
        <v>325</v>
      </c>
      <c r="H94" t="s">
        <v>280</v>
      </c>
      <c r="J94" t="s">
        <v>74</v>
      </c>
      <c r="L94" s="11" t="s">
        <v>128</v>
      </c>
      <c r="P94" s="13" t="s">
        <v>82</v>
      </c>
      <c r="Q94" t="s">
        <v>319</v>
      </c>
      <c r="R94" s="7" t="s">
        <v>320</v>
      </c>
      <c r="T94">
        <v>0.01</v>
      </c>
      <c r="U94">
        <v>3</v>
      </c>
      <c r="W94">
        <v>55.4</v>
      </c>
      <c r="Z94" t="s">
        <v>322</v>
      </c>
      <c r="AA94" t="s">
        <v>321</v>
      </c>
      <c r="AC94">
        <v>1.43</v>
      </c>
      <c r="AD94">
        <v>1.43</v>
      </c>
      <c r="AE94">
        <v>150</v>
      </c>
      <c r="AF94">
        <v>150</v>
      </c>
      <c r="AH94">
        <v>890</v>
      </c>
      <c r="AJ94">
        <v>1055</v>
      </c>
      <c r="AM94">
        <v>954</v>
      </c>
      <c r="AN94">
        <v>762</v>
      </c>
      <c r="AQ94">
        <f t="shared" si="6"/>
        <v>0.7222748815165877</v>
      </c>
      <c r="AR94">
        <f t="shared" si="7"/>
        <v>5.86</v>
      </c>
      <c r="AS94">
        <v>1</v>
      </c>
      <c r="AU94">
        <v>2</v>
      </c>
      <c r="AV94">
        <v>1.905</v>
      </c>
    </row>
    <row r="95" spans="1:51">
      <c r="A95" t="s">
        <v>80</v>
      </c>
      <c r="B95" s="5" t="s">
        <v>330</v>
      </c>
      <c r="C95" t="s">
        <v>166</v>
      </c>
      <c r="D95" s="11" t="s">
        <v>334</v>
      </c>
      <c r="E95" s="11" t="s">
        <v>403</v>
      </c>
      <c r="F95" s="13" t="s">
        <v>335</v>
      </c>
      <c r="H95" t="s">
        <v>331</v>
      </c>
      <c r="J95" t="s">
        <v>74</v>
      </c>
      <c r="L95" s="11" t="s">
        <v>84</v>
      </c>
      <c r="P95" s="13" t="s">
        <v>82</v>
      </c>
      <c r="Q95" t="s">
        <v>328</v>
      </c>
      <c r="R95" s="7" t="s">
        <v>329</v>
      </c>
      <c r="T95">
        <v>0.02</v>
      </c>
      <c r="U95">
        <v>3</v>
      </c>
      <c r="V95">
        <v>5</v>
      </c>
      <c r="W95">
        <v>73</v>
      </c>
      <c r="X95" t="s">
        <v>332</v>
      </c>
      <c r="Y95" t="s">
        <v>85</v>
      </c>
      <c r="AC95">
        <v>3.3000000000000002E-2</v>
      </c>
      <c r="AD95">
        <v>3.3000000000000002E-2</v>
      </c>
      <c r="AJ95">
        <v>818</v>
      </c>
      <c r="AM95">
        <v>819</v>
      </c>
      <c r="AN95">
        <v>744</v>
      </c>
      <c r="AQ95">
        <f t="shared" si="6"/>
        <v>0.90953545232273836</v>
      </c>
      <c r="AR95">
        <f t="shared" si="7"/>
        <v>1.48</v>
      </c>
      <c r="AS95">
        <v>1</v>
      </c>
      <c r="AT95">
        <v>1</v>
      </c>
    </row>
    <row r="96" spans="1:51">
      <c r="A96" t="s">
        <v>80</v>
      </c>
      <c r="B96" s="5" t="s">
        <v>68</v>
      </c>
      <c r="C96" t="s">
        <v>166</v>
      </c>
      <c r="D96" s="11" t="s">
        <v>333</v>
      </c>
      <c r="E96" s="11" t="s">
        <v>403</v>
      </c>
      <c r="H96" t="s">
        <v>331</v>
      </c>
      <c r="J96" t="s">
        <v>74</v>
      </c>
      <c r="L96" s="11" t="s">
        <v>84</v>
      </c>
      <c r="N96" s="13"/>
      <c r="P96" s="13" t="s">
        <v>82</v>
      </c>
      <c r="Q96" t="s">
        <v>328</v>
      </c>
      <c r="R96" s="7" t="s">
        <v>329</v>
      </c>
      <c r="T96">
        <v>0.02</v>
      </c>
      <c r="U96">
        <v>3</v>
      </c>
      <c r="V96">
        <v>5.5</v>
      </c>
      <c r="W96">
        <v>55</v>
      </c>
      <c r="X96" t="s">
        <v>332</v>
      </c>
      <c r="Y96" t="s">
        <v>85</v>
      </c>
      <c r="AA96" t="s">
        <v>136</v>
      </c>
      <c r="AC96">
        <v>3.3000000000000002E-2</v>
      </c>
      <c r="AD96">
        <v>3.3000000000000002E-2</v>
      </c>
      <c r="AE96">
        <v>24</v>
      </c>
      <c r="AF96">
        <v>24</v>
      </c>
      <c r="AH96">
        <v>718</v>
      </c>
      <c r="AJ96">
        <v>918</v>
      </c>
      <c r="AM96">
        <v>267</v>
      </c>
      <c r="AN96">
        <v>153</v>
      </c>
      <c r="AQ96">
        <f t="shared" si="6"/>
        <v>0.16666666666666666</v>
      </c>
      <c r="AR96">
        <f t="shared" si="7"/>
        <v>15.3</v>
      </c>
      <c r="AS96">
        <v>0.6</v>
      </c>
      <c r="AV96">
        <v>1.954</v>
      </c>
    </row>
    <row r="97" spans="1:50">
      <c r="A97" t="s">
        <v>80</v>
      </c>
      <c r="B97" s="5" t="s">
        <v>68</v>
      </c>
      <c r="C97" t="s">
        <v>166</v>
      </c>
      <c r="D97" s="11" t="s">
        <v>337</v>
      </c>
      <c r="E97" s="11" t="s">
        <v>403</v>
      </c>
      <c r="H97" t="s">
        <v>280</v>
      </c>
      <c r="J97" t="s">
        <v>74</v>
      </c>
      <c r="L97" s="11" t="s">
        <v>128</v>
      </c>
      <c r="P97" s="13" t="s">
        <v>82</v>
      </c>
      <c r="Q97" t="s">
        <v>338</v>
      </c>
      <c r="R97" t="s">
        <v>339</v>
      </c>
      <c r="T97">
        <v>0.02</v>
      </c>
      <c r="U97">
        <v>3</v>
      </c>
      <c r="V97">
        <v>0.1</v>
      </c>
      <c r="Y97" t="s">
        <v>215</v>
      </c>
      <c r="AC97">
        <v>7.2</v>
      </c>
      <c r="AD97">
        <v>7.2</v>
      </c>
      <c r="AE97">
        <v>100</v>
      </c>
      <c r="AF97">
        <v>100</v>
      </c>
      <c r="AH97">
        <v>718</v>
      </c>
      <c r="AJ97">
        <v>997.4</v>
      </c>
      <c r="AM97">
        <v>557</v>
      </c>
      <c r="AN97">
        <v>360</v>
      </c>
      <c r="AQ97">
        <f t="shared" si="6"/>
        <v>0.36093843994385405</v>
      </c>
      <c r="AR97">
        <f t="shared" si="7"/>
        <v>12.747999999999999</v>
      </c>
      <c r="AS97">
        <v>0.6</v>
      </c>
      <c r="AT97">
        <v>1.2</v>
      </c>
      <c r="AU97">
        <v>2.2000000000000002</v>
      </c>
      <c r="AV97">
        <v>1.954</v>
      </c>
      <c r="AX97">
        <f t="shared" ref="AX97:AX105" si="8">AN97*(AT97+(AU97-AT97)/2)</f>
        <v>612.00000000000011</v>
      </c>
    </row>
    <row r="98" spans="1:50">
      <c r="A98" t="s">
        <v>80</v>
      </c>
      <c r="B98" s="5" t="s">
        <v>336</v>
      </c>
      <c r="C98" t="s">
        <v>166</v>
      </c>
      <c r="D98" s="11" t="s">
        <v>337</v>
      </c>
      <c r="E98" s="11" t="s">
        <v>403</v>
      </c>
      <c r="H98" t="s">
        <v>280</v>
      </c>
      <c r="J98" t="s">
        <v>74</v>
      </c>
      <c r="L98" s="11" t="s">
        <v>128</v>
      </c>
      <c r="P98" s="13" t="s">
        <v>82</v>
      </c>
      <c r="Q98" t="s">
        <v>338</v>
      </c>
      <c r="R98" s="14" t="s">
        <v>339</v>
      </c>
      <c r="T98">
        <v>0.02</v>
      </c>
      <c r="U98">
        <v>3</v>
      </c>
      <c r="V98" t="s">
        <v>341</v>
      </c>
      <c r="Y98" t="s">
        <v>340</v>
      </c>
      <c r="AE98">
        <v>100</v>
      </c>
      <c r="AF98">
        <v>100</v>
      </c>
      <c r="AJ98">
        <v>1152.4000000000001</v>
      </c>
      <c r="AM98">
        <v>721</v>
      </c>
      <c r="AN98">
        <v>646</v>
      </c>
      <c r="AQ98">
        <f t="shared" si="6"/>
        <v>0.56056924678930919</v>
      </c>
      <c r="AR98">
        <f t="shared" si="7"/>
        <v>10.128000000000002</v>
      </c>
      <c r="AS98">
        <v>0.6</v>
      </c>
      <c r="AT98">
        <v>1.2</v>
      </c>
      <c r="AU98">
        <v>2.2000000000000002</v>
      </c>
      <c r="AX98">
        <f t="shared" si="8"/>
        <v>1098.2</v>
      </c>
    </row>
    <row r="99" spans="1:50">
      <c r="A99" t="s">
        <v>80</v>
      </c>
      <c r="B99" s="5" t="s">
        <v>302</v>
      </c>
      <c r="C99" t="s">
        <v>166</v>
      </c>
      <c r="D99" s="11" t="s">
        <v>347</v>
      </c>
      <c r="E99" s="11" t="s">
        <v>403</v>
      </c>
      <c r="H99" t="s">
        <v>303</v>
      </c>
      <c r="J99" t="s">
        <v>74</v>
      </c>
      <c r="L99" s="11" t="s">
        <v>84</v>
      </c>
      <c r="P99" s="13" t="s">
        <v>82</v>
      </c>
      <c r="Q99" t="s">
        <v>348</v>
      </c>
      <c r="R99" s="7" t="s">
        <v>349</v>
      </c>
      <c r="T99">
        <v>0.02</v>
      </c>
      <c r="U99">
        <v>3</v>
      </c>
      <c r="V99">
        <v>0.15</v>
      </c>
      <c r="X99" t="s">
        <v>169</v>
      </c>
      <c r="Z99" t="s">
        <v>344</v>
      </c>
      <c r="AC99">
        <v>0.2</v>
      </c>
      <c r="AD99">
        <v>0.2</v>
      </c>
      <c r="AE99">
        <v>88</v>
      </c>
      <c r="AF99">
        <v>88</v>
      </c>
      <c r="AH99">
        <v>440</v>
      </c>
      <c r="AJ99">
        <v>611</v>
      </c>
      <c r="AM99">
        <v>306</v>
      </c>
      <c r="AN99">
        <v>205</v>
      </c>
      <c r="AQ99">
        <f t="shared" si="6"/>
        <v>0.3355155482815057</v>
      </c>
      <c r="AR99">
        <f t="shared" si="7"/>
        <v>8.1199999999999992</v>
      </c>
      <c r="AS99">
        <v>1.4</v>
      </c>
      <c r="AT99">
        <v>2.2000000000000002</v>
      </c>
      <c r="AU99">
        <v>2.5</v>
      </c>
      <c r="AV99">
        <v>2.1469999999999998</v>
      </c>
      <c r="AX99">
        <f t="shared" si="8"/>
        <v>481.75</v>
      </c>
    </row>
    <row r="100" spans="1:50">
      <c r="A100" t="s">
        <v>80</v>
      </c>
      <c r="B100" s="5" t="s">
        <v>302</v>
      </c>
      <c r="C100" t="s">
        <v>166</v>
      </c>
      <c r="D100" s="11" t="s">
        <v>347</v>
      </c>
      <c r="E100" s="11" t="s">
        <v>403</v>
      </c>
      <c r="H100" t="s">
        <v>303</v>
      </c>
      <c r="J100" t="s">
        <v>74</v>
      </c>
      <c r="L100" s="11" t="s">
        <v>84</v>
      </c>
      <c r="P100" s="13" t="s">
        <v>82</v>
      </c>
      <c r="Q100" t="s">
        <v>348</v>
      </c>
      <c r="R100" s="7" t="s">
        <v>349</v>
      </c>
      <c r="T100">
        <v>0.02</v>
      </c>
      <c r="U100">
        <v>3</v>
      </c>
      <c r="V100">
        <v>1</v>
      </c>
      <c r="X100" t="s">
        <v>169</v>
      </c>
      <c r="Z100" t="s">
        <v>343</v>
      </c>
      <c r="AC100">
        <v>0.2</v>
      </c>
      <c r="AD100">
        <v>0.2</v>
      </c>
      <c r="AE100">
        <v>72</v>
      </c>
      <c r="AF100">
        <v>72</v>
      </c>
      <c r="AH100">
        <v>360</v>
      </c>
      <c r="AJ100">
        <v>605</v>
      </c>
      <c r="AM100">
        <v>339</v>
      </c>
      <c r="AN100">
        <v>375</v>
      </c>
      <c r="AQ100">
        <f t="shared" si="6"/>
        <v>0.6198347107438017</v>
      </c>
      <c r="AR100">
        <f t="shared" si="7"/>
        <v>4.5999999999999996</v>
      </c>
      <c r="AS100">
        <v>1.3</v>
      </c>
      <c r="AT100">
        <v>2</v>
      </c>
      <c r="AU100">
        <v>2.5</v>
      </c>
      <c r="AV100">
        <v>2.1469999999999998</v>
      </c>
      <c r="AX100">
        <f t="shared" si="8"/>
        <v>843.75</v>
      </c>
    </row>
    <row r="101" spans="1:50">
      <c r="A101" t="s">
        <v>80</v>
      </c>
      <c r="B101" s="5" t="s">
        <v>342</v>
      </c>
      <c r="C101" t="s">
        <v>166</v>
      </c>
      <c r="D101" s="11" t="s">
        <v>347</v>
      </c>
      <c r="E101" s="11" t="s">
        <v>403</v>
      </c>
      <c r="H101" t="s">
        <v>280</v>
      </c>
      <c r="J101" t="s">
        <v>74</v>
      </c>
      <c r="L101" s="11" t="s">
        <v>84</v>
      </c>
      <c r="P101" s="13" t="s">
        <v>82</v>
      </c>
      <c r="Q101" t="s">
        <v>348</v>
      </c>
      <c r="R101" s="7" t="s">
        <v>349</v>
      </c>
      <c r="T101">
        <v>0.02</v>
      </c>
      <c r="U101">
        <v>3</v>
      </c>
      <c r="V101">
        <v>0.15</v>
      </c>
      <c r="X101" t="s">
        <v>169</v>
      </c>
      <c r="Z101" t="s">
        <v>346</v>
      </c>
      <c r="AC101">
        <v>0.2</v>
      </c>
      <c r="AD101">
        <v>0.2</v>
      </c>
      <c r="AE101">
        <v>134</v>
      </c>
      <c r="AF101">
        <v>134</v>
      </c>
      <c r="AH101">
        <v>674</v>
      </c>
      <c r="AJ101">
        <v>849</v>
      </c>
      <c r="AM101">
        <v>353</v>
      </c>
      <c r="AN101">
        <v>209</v>
      </c>
      <c r="AQ101">
        <f t="shared" si="6"/>
        <v>0.24617196702002356</v>
      </c>
      <c r="AR101">
        <f t="shared" si="7"/>
        <v>12.8</v>
      </c>
      <c r="AS101">
        <v>1.3</v>
      </c>
      <c r="AT101">
        <v>1.4</v>
      </c>
      <c r="AU101">
        <v>2.4</v>
      </c>
      <c r="AV101">
        <v>2.2480000000000002</v>
      </c>
      <c r="AX101">
        <f t="shared" si="8"/>
        <v>397.09999999999997</v>
      </c>
    </row>
    <row r="102" spans="1:50">
      <c r="A102" t="s">
        <v>80</v>
      </c>
      <c r="B102" s="5" t="s">
        <v>342</v>
      </c>
      <c r="C102" t="s">
        <v>166</v>
      </c>
      <c r="D102" s="11" t="s">
        <v>347</v>
      </c>
      <c r="E102" s="11" t="s">
        <v>403</v>
      </c>
      <c r="H102" t="s">
        <v>280</v>
      </c>
      <c r="J102" t="s">
        <v>74</v>
      </c>
      <c r="L102" s="11" t="s">
        <v>84</v>
      </c>
      <c r="P102" s="13" t="s">
        <v>82</v>
      </c>
      <c r="Q102" t="s">
        <v>348</v>
      </c>
      <c r="R102" s="7" t="s">
        <v>349</v>
      </c>
      <c r="T102">
        <v>0.02</v>
      </c>
      <c r="U102">
        <v>3</v>
      </c>
      <c r="V102">
        <v>1</v>
      </c>
      <c r="X102" t="s">
        <v>169</v>
      </c>
      <c r="Z102" t="s">
        <v>345</v>
      </c>
      <c r="AC102">
        <v>0.2</v>
      </c>
      <c r="AD102">
        <v>0.2</v>
      </c>
      <c r="AE102">
        <v>134</v>
      </c>
      <c r="AF102">
        <v>134</v>
      </c>
      <c r="AH102">
        <v>674</v>
      </c>
      <c r="AJ102">
        <v>859</v>
      </c>
      <c r="AM102">
        <v>356</v>
      </c>
      <c r="AN102">
        <v>367</v>
      </c>
      <c r="AQ102">
        <f t="shared" si="6"/>
        <v>0.42724097788125726</v>
      </c>
      <c r="AR102">
        <f t="shared" si="7"/>
        <v>9.84</v>
      </c>
      <c r="AS102">
        <v>1.3</v>
      </c>
      <c r="AT102">
        <v>1.4</v>
      </c>
      <c r="AU102">
        <v>2.4</v>
      </c>
      <c r="AV102">
        <v>2.2480000000000002</v>
      </c>
      <c r="AX102">
        <f t="shared" si="8"/>
        <v>697.3</v>
      </c>
    </row>
    <row r="103" spans="1:50">
      <c r="A103" t="s">
        <v>80</v>
      </c>
      <c r="B103" s="5" t="s">
        <v>342</v>
      </c>
      <c r="C103" t="s">
        <v>166</v>
      </c>
      <c r="D103" s="11" t="s">
        <v>350</v>
      </c>
      <c r="E103" s="11" t="s">
        <v>403</v>
      </c>
      <c r="F103" t="s">
        <v>454</v>
      </c>
      <c r="H103" t="s">
        <v>399</v>
      </c>
      <c r="J103" t="s">
        <v>74</v>
      </c>
      <c r="L103" s="11" t="s">
        <v>351</v>
      </c>
      <c r="P103" s="13" t="s">
        <v>82</v>
      </c>
      <c r="Q103" t="s">
        <v>352</v>
      </c>
      <c r="R103" t="s">
        <v>353</v>
      </c>
      <c r="V103">
        <v>1.4999999999999999E-2</v>
      </c>
      <c r="AC103">
        <v>7.0000000000000007E-2</v>
      </c>
      <c r="AD103">
        <v>7.0000000000000007E-2</v>
      </c>
      <c r="AE103">
        <v>50</v>
      </c>
      <c r="AF103">
        <v>50</v>
      </c>
      <c r="AH103">
        <v>674</v>
      </c>
      <c r="AJ103">
        <v>1076</v>
      </c>
      <c r="AM103">
        <v>648</v>
      </c>
      <c r="AN103">
        <v>600</v>
      </c>
      <c r="AO103">
        <v>554</v>
      </c>
      <c r="AQ103">
        <f t="shared" si="6"/>
        <v>0.55762081784386619</v>
      </c>
      <c r="AR103">
        <f t="shared" si="7"/>
        <v>9.52</v>
      </c>
      <c r="AS103">
        <v>0.9</v>
      </c>
      <c r="AT103">
        <v>0.9</v>
      </c>
      <c r="AU103">
        <v>2.2999999999999998</v>
      </c>
      <c r="AV103">
        <v>2.2480000000000002</v>
      </c>
      <c r="AX103">
        <f t="shared" si="8"/>
        <v>960</v>
      </c>
    </row>
    <row r="104" spans="1:50">
      <c r="A104" t="s">
        <v>80</v>
      </c>
      <c r="B104" s="5" t="s">
        <v>342</v>
      </c>
      <c r="C104" t="s">
        <v>166</v>
      </c>
      <c r="D104" s="11" t="s">
        <v>350</v>
      </c>
      <c r="E104" s="11" t="s">
        <v>403</v>
      </c>
      <c r="F104" t="s">
        <v>455</v>
      </c>
      <c r="H104" t="s">
        <v>399</v>
      </c>
      <c r="J104" t="s">
        <v>74</v>
      </c>
      <c r="L104" s="11" t="s">
        <v>351</v>
      </c>
      <c r="P104" s="13" t="s">
        <v>168</v>
      </c>
      <c r="Q104" t="s">
        <v>352</v>
      </c>
      <c r="R104" t="s">
        <v>353</v>
      </c>
      <c r="V104">
        <v>80</v>
      </c>
      <c r="AC104">
        <v>7.0000000000000007E-2</v>
      </c>
      <c r="AD104">
        <v>7.0000000000000007E-2</v>
      </c>
      <c r="AE104">
        <v>50</v>
      </c>
      <c r="AF104">
        <v>50</v>
      </c>
      <c r="AH104">
        <v>674</v>
      </c>
      <c r="AJ104">
        <v>935</v>
      </c>
      <c r="AM104">
        <v>486</v>
      </c>
      <c r="AN104">
        <v>474</v>
      </c>
      <c r="AO104">
        <v>466</v>
      </c>
      <c r="AQ104">
        <f t="shared" si="6"/>
        <v>0.50695187165775402</v>
      </c>
      <c r="AR104">
        <f t="shared" si="7"/>
        <v>9.2200000000000006</v>
      </c>
      <c r="AS104">
        <v>0.8</v>
      </c>
      <c r="AT104">
        <v>1</v>
      </c>
      <c r="AU104">
        <v>2.2999999999999998</v>
      </c>
      <c r="AV104">
        <v>2.2480000000000002</v>
      </c>
      <c r="AX104">
        <f t="shared" si="8"/>
        <v>782.09999999999991</v>
      </c>
    </row>
    <row r="105" spans="1:50">
      <c r="A105" t="s">
        <v>80</v>
      </c>
      <c r="B105" s="5" t="s">
        <v>356</v>
      </c>
      <c r="C105" t="s">
        <v>166</v>
      </c>
      <c r="D105" s="11" t="s">
        <v>456</v>
      </c>
      <c r="E105" s="11" t="s">
        <v>108</v>
      </c>
      <c r="F105" t="s">
        <v>357</v>
      </c>
      <c r="H105" t="s">
        <v>358</v>
      </c>
      <c r="J105" t="s">
        <v>74</v>
      </c>
      <c r="L105" s="11" t="s">
        <v>359</v>
      </c>
      <c r="P105" t="s">
        <v>168</v>
      </c>
      <c r="Q105" t="s">
        <v>354</v>
      </c>
      <c r="R105" s="7" t="s">
        <v>355</v>
      </c>
      <c r="T105">
        <v>5.0000000000000001E-3</v>
      </c>
      <c r="U105">
        <v>3.5</v>
      </c>
      <c r="V105">
        <v>1.2500000000000001E-2</v>
      </c>
      <c r="AC105">
        <v>0.5</v>
      </c>
      <c r="AD105">
        <v>0.5</v>
      </c>
      <c r="AE105">
        <v>558.5</v>
      </c>
      <c r="AF105">
        <v>558.5</v>
      </c>
      <c r="AH105">
        <v>1117</v>
      </c>
      <c r="AJ105">
        <v>560</v>
      </c>
      <c r="AM105">
        <v>614</v>
      </c>
      <c r="AN105">
        <v>623</v>
      </c>
      <c r="AO105">
        <v>636</v>
      </c>
      <c r="AQ105">
        <f t="shared" si="6"/>
        <v>1.1125</v>
      </c>
      <c r="AR105">
        <f t="shared" si="7"/>
        <v>-1.26</v>
      </c>
      <c r="AS105">
        <v>2.25</v>
      </c>
      <c r="AT105">
        <v>1.6</v>
      </c>
      <c r="AU105">
        <v>2</v>
      </c>
      <c r="AV105">
        <v>1.75</v>
      </c>
      <c r="AW105" t="s">
        <v>498</v>
      </c>
      <c r="AX105">
        <f t="shared" si="8"/>
        <v>1121.4000000000001</v>
      </c>
    </row>
    <row r="106" spans="1:50">
      <c r="A106" t="s">
        <v>80</v>
      </c>
      <c r="B106" s="5" t="s">
        <v>356</v>
      </c>
      <c r="C106" t="s">
        <v>166</v>
      </c>
      <c r="D106" s="11" t="s">
        <v>318</v>
      </c>
      <c r="E106" s="11" t="s">
        <v>108</v>
      </c>
      <c r="H106" t="s">
        <v>72</v>
      </c>
      <c r="J106" t="s">
        <v>74</v>
      </c>
      <c r="L106" s="11" t="s">
        <v>359</v>
      </c>
      <c r="P106" t="s">
        <v>168</v>
      </c>
      <c r="Q106" t="s">
        <v>354</v>
      </c>
      <c r="R106" s="7" t="s">
        <v>355</v>
      </c>
      <c r="T106">
        <v>5.0000000000000001E-3</v>
      </c>
      <c r="U106">
        <v>3.5</v>
      </c>
      <c r="V106">
        <v>5</v>
      </c>
      <c r="AC106">
        <v>0.5</v>
      </c>
      <c r="AD106">
        <v>0.5</v>
      </c>
      <c r="AE106">
        <v>558.5</v>
      </c>
      <c r="AF106">
        <v>558.5</v>
      </c>
      <c r="AH106">
        <v>1117</v>
      </c>
      <c r="AJ106">
        <v>618</v>
      </c>
      <c r="AM106">
        <v>267</v>
      </c>
      <c r="AV106">
        <v>1.75</v>
      </c>
      <c r="AW106" t="s">
        <v>499</v>
      </c>
    </row>
    <row r="107" spans="1:50">
      <c r="A107" t="s">
        <v>80</v>
      </c>
      <c r="B107" s="5" t="s">
        <v>360</v>
      </c>
      <c r="C107" t="s">
        <v>166</v>
      </c>
      <c r="D107" s="11" t="s">
        <v>318</v>
      </c>
      <c r="E107" s="11" t="s">
        <v>403</v>
      </c>
      <c r="F107" t="s">
        <v>362</v>
      </c>
      <c r="H107" t="s">
        <v>361</v>
      </c>
      <c r="J107" t="s">
        <v>74</v>
      </c>
      <c r="L107" s="11" t="s">
        <v>128</v>
      </c>
      <c r="P107" t="s">
        <v>458</v>
      </c>
      <c r="Q107" t="s">
        <v>363</v>
      </c>
      <c r="R107" s="7" t="s">
        <v>364</v>
      </c>
      <c r="T107">
        <v>0.01</v>
      </c>
      <c r="U107">
        <v>3</v>
      </c>
      <c r="W107">
        <v>66</v>
      </c>
      <c r="X107" t="s">
        <v>179</v>
      </c>
      <c r="Y107" t="s">
        <v>215</v>
      </c>
      <c r="AA107" t="s">
        <v>457</v>
      </c>
      <c r="AC107">
        <v>0.1</v>
      </c>
      <c r="AD107">
        <v>0.1</v>
      </c>
      <c r="AE107">
        <v>83.8</v>
      </c>
      <c r="AF107">
        <v>83.8</v>
      </c>
      <c r="AH107">
        <v>838</v>
      </c>
      <c r="AJ107">
        <v>722</v>
      </c>
      <c r="AM107">
        <v>686</v>
      </c>
      <c r="AP107" t="s">
        <v>178</v>
      </c>
      <c r="AV107">
        <v>1.669</v>
      </c>
      <c r="AW107" t="s">
        <v>460</v>
      </c>
    </row>
    <row r="108" spans="1:50">
      <c r="A108" t="s">
        <v>80</v>
      </c>
      <c r="B108" s="5" t="s">
        <v>360</v>
      </c>
      <c r="C108" t="s">
        <v>166</v>
      </c>
      <c r="D108" s="11" t="s">
        <v>318</v>
      </c>
      <c r="E108" s="11" t="s">
        <v>403</v>
      </c>
      <c r="F108" t="s">
        <v>362</v>
      </c>
      <c r="H108" t="s">
        <v>361</v>
      </c>
      <c r="J108" t="s">
        <v>74</v>
      </c>
      <c r="L108" s="11" t="s">
        <v>128</v>
      </c>
      <c r="P108" t="s">
        <v>459</v>
      </c>
      <c r="Q108" t="s">
        <v>363</v>
      </c>
      <c r="R108" s="7" t="s">
        <v>364</v>
      </c>
      <c r="T108">
        <v>0.01</v>
      </c>
      <c r="U108">
        <v>3</v>
      </c>
      <c r="W108">
        <v>66</v>
      </c>
      <c r="X108" t="s">
        <v>179</v>
      </c>
      <c r="Y108" t="s">
        <v>215</v>
      </c>
      <c r="AA108" t="s">
        <v>457</v>
      </c>
      <c r="AC108">
        <v>0.05</v>
      </c>
      <c r="AD108">
        <v>0.05</v>
      </c>
      <c r="AE108">
        <v>4.2</v>
      </c>
      <c r="AF108">
        <v>4.2</v>
      </c>
      <c r="AH108">
        <v>838</v>
      </c>
      <c r="AJ108">
        <v>961</v>
      </c>
      <c r="AM108">
        <v>734</v>
      </c>
      <c r="AS108">
        <v>1.2</v>
      </c>
      <c r="AT108">
        <v>1</v>
      </c>
      <c r="AU108">
        <v>1.7</v>
      </c>
      <c r="AV108">
        <v>1.669</v>
      </c>
    </row>
    <row r="109" spans="1:50">
      <c r="A109" t="s">
        <v>80</v>
      </c>
      <c r="B109" s="5" t="s">
        <v>376</v>
      </c>
      <c r="C109" t="s">
        <v>166</v>
      </c>
      <c r="D109" s="11" t="s">
        <v>236</v>
      </c>
      <c r="E109" s="11" t="s">
        <v>403</v>
      </c>
      <c r="F109" t="s">
        <v>377</v>
      </c>
      <c r="H109" t="s">
        <v>399</v>
      </c>
      <c r="J109" t="s">
        <v>74</v>
      </c>
      <c r="L109" s="11" t="s">
        <v>84</v>
      </c>
      <c r="P109" t="s">
        <v>374</v>
      </c>
      <c r="Q109" t="s">
        <v>378</v>
      </c>
      <c r="R109" s="7" t="s">
        <v>380</v>
      </c>
      <c r="T109">
        <v>0</v>
      </c>
      <c r="U109">
        <v>3</v>
      </c>
      <c r="V109">
        <v>5.5</v>
      </c>
      <c r="X109" t="s">
        <v>98</v>
      </c>
      <c r="AA109" t="s">
        <v>379</v>
      </c>
      <c r="AC109">
        <v>0.28000000000000003</v>
      </c>
      <c r="AD109">
        <v>0.28000000000000003</v>
      </c>
      <c r="AE109">
        <v>278</v>
      </c>
      <c r="AF109">
        <v>278</v>
      </c>
      <c r="AH109">
        <v>978</v>
      </c>
      <c r="AJ109">
        <v>1461</v>
      </c>
      <c r="AM109">
        <v>333</v>
      </c>
      <c r="AN109">
        <v>310</v>
      </c>
      <c r="AP109" t="s">
        <v>316</v>
      </c>
      <c r="AQ109">
        <f>AN109/AJ109</f>
        <v>0.21218343600273784</v>
      </c>
      <c r="AR109">
        <f>(AJ109-AN109)/50</f>
        <v>23.02</v>
      </c>
      <c r="AS109">
        <v>0.2</v>
      </c>
      <c r="AT109">
        <v>0.15</v>
      </c>
      <c r="AU109">
        <v>1.4</v>
      </c>
      <c r="AV109">
        <v>1.252</v>
      </c>
      <c r="AX109">
        <f>AN109*(AT109+(AU109-AT109)/2)</f>
        <v>240.25</v>
      </c>
    </row>
    <row r="110" spans="1:50">
      <c r="A110" t="s">
        <v>80</v>
      </c>
      <c r="B110" s="5" t="s">
        <v>366</v>
      </c>
      <c r="C110" t="s">
        <v>166</v>
      </c>
      <c r="D110" s="11" t="s">
        <v>369</v>
      </c>
      <c r="E110" s="11" t="s">
        <v>403</v>
      </c>
      <c r="F110" t="s">
        <v>375</v>
      </c>
      <c r="H110" t="s">
        <v>365</v>
      </c>
      <c r="J110" t="s">
        <v>74</v>
      </c>
      <c r="L110" s="11" t="s">
        <v>370</v>
      </c>
      <c r="P110" t="s">
        <v>374</v>
      </c>
      <c r="Q110" t="s">
        <v>367</v>
      </c>
      <c r="R110" s="7" t="s">
        <v>368</v>
      </c>
      <c r="T110">
        <v>0.01</v>
      </c>
      <c r="U110">
        <v>3</v>
      </c>
      <c r="V110">
        <v>0.75</v>
      </c>
      <c r="Y110" t="s">
        <v>371</v>
      </c>
      <c r="Z110" t="s">
        <v>373</v>
      </c>
      <c r="AA110" t="s">
        <v>372</v>
      </c>
      <c r="AC110">
        <v>0.13</v>
      </c>
      <c r="AD110">
        <v>0.13</v>
      </c>
      <c r="AE110">
        <v>100</v>
      </c>
      <c r="AF110">
        <v>100</v>
      </c>
      <c r="AH110">
        <v>784</v>
      </c>
      <c r="AJ110">
        <v>1350</v>
      </c>
      <c r="AM110">
        <v>635</v>
      </c>
      <c r="AN110">
        <v>626</v>
      </c>
      <c r="AQ110">
        <f>AN110/AJ110</f>
        <v>0.46370370370370373</v>
      </c>
      <c r="AR110">
        <f>(AJ110-AN110)/50</f>
        <v>14.48</v>
      </c>
      <c r="AS110">
        <v>0.4</v>
      </c>
      <c r="AT110">
        <v>0.5</v>
      </c>
      <c r="AU110">
        <v>1.6</v>
      </c>
      <c r="AV110" s="6"/>
      <c r="AX110">
        <f>AN110*(AT110+(AU110-AT110)/2)</f>
        <v>657.30000000000007</v>
      </c>
    </row>
    <row r="111" spans="1:50">
      <c r="A111" t="s">
        <v>80</v>
      </c>
      <c r="B111" s="5" t="s">
        <v>383</v>
      </c>
      <c r="C111" t="s">
        <v>166</v>
      </c>
      <c r="D111" s="11" t="s">
        <v>392</v>
      </c>
      <c r="E111" s="11" t="s">
        <v>403</v>
      </c>
      <c r="H111" t="s">
        <v>127</v>
      </c>
      <c r="J111" t="s">
        <v>74</v>
      </c>
      <c r="L111" s="11" t="s">
        <v>84</v>
      </c>
      <c r="Q111" t="s">
        <v>382</v>
      </c>
      <c r="R111" t="s">
        <v>381</v>
      </c>
      <c r="T111">
        <v>0.01</v>
      </c>
      <c r="U111">
        <v>3</v>
      </c>
      <c r="V111">
        <v>0.35</v>
      </c>
      <c r="X111" t="s">
        <v>386</v>
      </c>
      <c r="Y111" t="s">
        <v>385</v>
      </c>
      <c r="Z111" t="s">
        <v>389</v>
      </c>
      <c r="AA111" t="s">
        <v>372</v>
      </c>
      <c r="AC111">
        <v>0.1</v>
      </c>
      <c r="AD111">
        <v>0.1</v>
      </c>
      <c r="AE111">
        <v>92.1</v>
      </c>
      <c r="AF111">
        <v>92.1</v>
      </c>
      <c r="AH111">
        <v>921</v>
      </c>
      <c r="AJ111">
        <v>967</v>
      </c>
      <c r="AM111">
        <v>397</v>
      </c>
      <c r="AN111">
        <v>331</v>
      </c>
      <c r="AQ111">
        <f>AN111/AJ111</f>
        <v>0.34229576008273011</v>
      </c>
      <c r="AR111">
        <f>(AJ111-AN111)/50</f>
        <v>12.72</v>
      </c>
      <c r="AS111">
        <v>0.4</v>
      </c>
      <c r="AT111">
        <v>0.5</v>
      </c>
      <c r="AU111">
        <v>2.1</v>
      </c>
      <c r="AV111" s="6"/>
      <c r="AX111">
        <f>AN111*(AT111+(AU111-AT111)/2)</f>
        <v>430.3</v>
      </c>
    </row>
    <row r="112" spans="1:50">
      <c r="A112" t="s">
        <v>80</v>
      </c>
      <c r="B112" s="5" t="s">
        <v>384</v>
      </c>
      <c r="C112" t="s">
        <v>166</v>
      </c>
      <c r="D112" s="11" t="s">
        <v>392</v>
      </c>
      <c r="E112" s="11" t="s">
        <v>403</v>
      </c>
      <c r="H112" t="s">
        <v>127</v>
      </c>
      <c r="J112" t="s">
        <v>74</v>
      </c>
      <c r="L112" s="11" t="s">
        <v>84</v>
      </c>
      <c r="Q112" t="s">
        <v>382</v>
      </c>
      <c r="R112" t="s">
        <v>381</v>
      </c>
      <c r="T112">
        <v>0.01</v>
      </c>
      <c r="U112">
        <v>3</v>
      </c>
      <c r="V112">
        <v>0.1</v>
      </c>
      <c r="X112" t="s">
        <v>386</v>
      </c>
      <c r="Y112" t="s">
        <v>385</v>
      </c>
      <c r="Z112" t="s">
        <v>390</v>
      </c>
      <c r="AA112" t="s">
        <v>388</v>
      </c>
      <c r="AC112">
        <v>0.1</v>
      </c>
      <c r="AD112">
        <v>0.1</v>
      </c>
      <c r="AE112">
        <v>92.2</v>
      </c>
      <c r="AF112">
        <v>92.2</v>
      </c>
      <c r="AH112">
        <v>922</v>
      </c>
      <c r="AJ112">
        <v>1041</v>
      </c>
      <c r="AM112">
        <v>240</v>
      </c>
      <c r="AP112" t="s">
        <v>393</v>
      </c>
      <c r="AS112">
        <v>0.7</v>
      </c>
      <c r="AT112">
        <v>0.7</v>
      </c>
      <c r="AU112">
        <v>2</v>
      </c>
      <c r="AV112" s="6"/>
    </row>
    <row r="113" spans="1:66">
      <c r="A113" t="s">
        <v>80</v>
      </c>
      <c r="B113" s="5" t="s">
        <v>366</v>
      </c>
      <c r="C113" t="s">
        <v>166</v>
      </c>
      <c r="D113" s="11" t="s">
        <v>392</v>
      </c>
      <c r="E113" s="11" t="s">
        <v>403</v>
      </c>
      <c r="F113" t="s">
        <v>391</v>
      </c>
      <c r="H113" t="s">
        <v>127</v>
      </c>
      <c r="J113" t="s">
        <v>74</v>
      </c>
      <c r="L113" s="11" t="s">
        <v>84</v>
      </c>
      <c r="Q113" t="s">
        <v>382</v>
      </c>
      <c r="R113" t="s">
        <v>381</v>
      </c>
      <c r="T113">
        <v>0.01</v>
      </c>
      <c r="U113">
        <v>3</v>
      </c>
      <c r="V113">
        <v>0.12</v>
      </c>
      <c r="X113" t="s">
        <v>386</v>
      </c>
      <c r="Y113" t="s">
        <v>385</v>
      </c>
      <c r="Z113" t="s">
        <v>394</v>
      </c>
      <c r="AA113" t="s">
        <v>372</v>
      </c>
      <c r="AC113">
        <v>0.1</v>
      </c>
      <c r="AD113">
        <v>0.1</v>
      </c>
      <c r="AE113">
        <v>100.8</v>
      </c>
      <c r="AF113">
        <v>100.8</v>
      </c>
      <c r="AH113">
        <v>1008</v>
      </c>
      <c r="AJ113">
        <v>1186</v>
      </c>
      <c r="AM113">
        <v>617</v>
      </c>
      <c r="AN113">
        <v>589</v>
      </c>
      <c r="AQ113">
        <f t="shared" ref="AQ113:AQ121" si="9">AN113/AJ113</f>
        <v>0.49662731871838112</v>
      </c>
      <c r="AR113">
        <f t="shared" ref="AR113:AR122" si="10">(AJ113-AN113)/50</f>
        <v>11.94</v>
      </c>
      <c r="AS113">
        <v>0.4</v>
      </c>
      <c r="AT113">
        <v>0.5</v>
      </c>
      <c r="AU113">
        <v>1.7</v>
      </c>
      <c r="AV113" s="6"/>
      <c r="AW113" t="s">
        <v>500</v>
      </c>
      <c r="AX113">
        <f t="shared" ref="AX113:AX122" si="11">AN113*(AT113+(AU113-AT113)/2)</f>
        <v>647.90000000000009</v>
      </c>
    </row>
    <row r="114" spans="1:66">
      <c r="A114" t="s">
        <v>80</v>
      </c>
      <c r="B114" s="5" t="s">
        <v>395</v>
      </c>
      <c r="C114" t="s">
        <v>166</v>
      </c>
      <c r="D114" s="11" t="s">
        <v>260</v>
      </c>
      <c r="E114" s="11" t="s">
        <v>403</v>
      </c>
      <c r="F114" t="s">
        <v>405</v>
      </c>
      <c r="H114" t="s">
        <v>258</v>
      </c>
      <c r="J114" t="s">
        <v>74</v>
      </c>
      <c r="L114" s="11" t="s">
        <v>128</v>
      </c>
      <c r="P114" t="s">
        <v>82</v>
      </c>
      <c r="Q114" t="s">
        <v>397</v>
      </c>
      <c r="R114" s="7" t="s">
        <v>398</v>
      </c>
      <c r="T114">
        <v>0</v>
      </c>
      <c r="U114">
        <v>3</v>
      </c>
      <c r="W114">
        <v>1.1000000000000001</v>
      </c>
      <c r="X114" t="s">
        <v>169</v>
      </c>
      <c r="Y114" t="s">
        <v>401</v>
      </c>
      <c r="AA114" t="s">
        <v>406</v>
      </c>
      <c r="AC114">
        <v>1</v>
      </c>
      <c r="AD114">
        <v>1</v>
      </c>
      <c r="AJ114">
        <v>1257</v>
      </c>
      <c r="AM114">
        <v>756</v>
      </c>
      <c r="AN114">
        <v>734</v>
      </c>
      <c r="AQ114">
        <f t="shared" si="9"/>
        <v>0.58392999204455054</v>
      </c>
      <c r="AR114">
        <f t="shared" si="10"/>
        <v>10.46</v>
      </c>
      <c r="AS114">
        <v>0.8</v>
      </c>
      <c r="AT114">
        <v>1</v>
      </c>
      <c r="AU114">
        <v>2.2000000000000002</v>
      </c>
      <c r="AV114" s="6"/>
      <c r="AW114" t="s">
        <v>461</v>
      </c>
      <c r="AX114">
        <f t="shared" si="11"/>
        <v>1174.4000000000001</v>
      </c>
    </row>
    <row r="115" spans="1:66">
      <c r="A115" t="s">
        <v>80</v>
      </c>
      <c r="B115" s="5" t="s">
        <v>396</v>
      </c>
      <c r="C115" t="s">
        <v>166</v>
      </c>
      <c r="D115" s="11" t="s">
        <v>260</v>
      </c>
      <c r="E115" s="11" t="s">
        <v>403</v>
      </c>
      <c r="F115" t="s">
        <v>404</v>
      </c>
      <c r="H115" t="s">
        <v>258</v>
      </c>
      <c r="J115" t="s">
        <v>74</v>
      </c>
      <c r="L115" s="11" t="s">
        <v>128</v>
      </c>
      <c r="P115" t="s">
        <v>82</v>
      </c>
      <c r="Q115" t="s">
        <v>397</v>
      </c>
      <c r="R115" s="7" t="s">
        <v>398</v>
      </c>
      <c r="T115">
        <v>0</v>
      </c>
      <c r="U115">
        <v>3</v>
      </c>
      <c r="X115" t="s">
        <v>169</v>
      </c>
      <c r="Y115" t="s">
        <v>401</v>
      </c>
      <c r="AA115" t="s">
        <v>406</v>
      </c>
      <c r="AC115">
        <v>1</v>
      </c>
      <c r="AD115">
        <v>1</v>
      </c>
      <c r="AJ115">
        <v>1138</v>
      </c>
      <c r="AM115">
        <v>658</v>
      </c>
      <c r="AN115">
        <v>602</v>
      </c>
      <c r="AQ115">
        <f t="shared" si="9"/>
        <v>0.52899824253075567</v>
      </c>
      <c r="AR115">
        <f t="shared" si="10"/>
        <v>10.72</v>
      </c>
      <c r="AS115">
        <v>0.8</v>
      </c>
      <c r="AT115">
        <v>1</v>
      </c>
      <c r="AU115">
        <v>2.2000000000000002</v>
      </c>
      <c r="AV115" s="6" t="s">
        <v>465</v>
      </c>
      <c r="AX115">
        <f t="shared" si="11"/>
        <v>963.2</v>
      </c>
    </row>
    <row r="116" spans="1:66">
      <c r="A116" t="s">
        <v>80</v>
      </c>
      <c r="B116" s="5" t="s">
        <v>407</v>
      </c>
      <c r="C116" t="s">
        <v>166</v>
      </c>
      <c r="D116" s="11" t="s">
        <v>412</v>
      </c>
      <c r="E116" s="11" t="s">
        <v>403</v>
      </c>
      <c r="F116" t="s">
        <v>408</v>
      </c>
      <c r="H116" t="s">
        <v>258</v>
      </c>
      <c r="J116" t="s">
        <v>74</v>
      </c>
      <c r="L116" s="11" t="s">
        <v>128</v>
      </c>
      <c r="P116" t="s">
        <v>82</v>
      </c>
      <c r="Q116" t="s">
        <v>409</v>
      </c>
      <c r="R116" s="7" t="s">
        <v>410</v>
      </c>
      <c r="T116">
        <v>0</v>
      </c>
      <c r="U116">
        <v>3</v>
      </c>
      <c r="W116">
        <v>5</v>
      </c>
      <c r="X116" t="s">
        <v>169</v>
      </c>
      <c r="Y116" t="s">
        <v>411</v>
      </c>
      <c r="AA116" t="s">
        <v>372</v>
      </c>
      <c r="AC116">
        <v>1</v>
      </c>
      <c r="AD116">
        <v>1</v>
      </c>
      <c r="AJ116">
        <v>1083</v>
      </c>
      <c r="AM116">
        <v>643</v>
      </c>
      <c r="AN116">
        <v>520</v>
      </c>
      <c r="AQ116">
        <f t="shared" si="9"/>
        <v>0.48014773776546632</v>
      </c>
      <c r="AR116">
        <f t="shared" si="10"/>
        <v>11.26</v>
      </c>
      <c r="AS116">
        <v>0.9</v>
      </c>
      <c r="AT116">
        <v>1</v>
      </c>
      <c r="AU116">
        <v>1.8</v>
      </c>
      <c r="AV116" s="6"/>
      <c r="AW116" t="s">
        <v>462</v>
      </c>
      <c r="AX116">
        <f t="shared" si="11"/>
        <v>728</v>
      </c>
    </row>
    <row r="117" spans="1:66">
      <c r="A117" t="s">
        <v>80</v>
      </c>
      <c r="B117" s="5" t="s">
        <v>413</v>
      </c>
      <c r="C117" t="s">
        <v>166</v>
      </c>
      <c r="D117" s="11" t="s">
        <v>417</v>
      </c>
      <c r="E117" s="11" t="s">
        <v>403</v>
      </c>
      <c r="H117" t="s">
        <v>414</v>
      </c>
      <c r="J117" t="s">
        <v>74</v>
      </c>
      <c r="L117" s="11" t="s">
        <v>128</v>
      </c>
      <c r="P117" t="s">
        <v>82</v>
      </c>
      <c r="Q117" t="s">
        <v>415</v>
      </c>
      <c r="R117" s="7" t="s">
        <v>416</v>
      </c>
      <c r="T117">
        <v>5.0000000000000001E-3</v>
      </c>
      <c r="U117">
        <v>3</v>
      </c>
      <c r="V117">
        <v>0.2</v>
      </c>
      <c r="X117" t="s">
        <v>145</v>
      </c>
      <c r="Y117" t="s">
        <v>418</v>
      </c>
      <c r="Z117" t="s">
        <v>419</v>
      </c>
      <c r="AA117" t="s">
        <v>406</v>
      </c>
      <c r="AC117">
        <v>0.1</v>
      </c>
      <c r="AD117">
        <v>0.1</v>
      </c>
      <c r="AE117">
        <v>60</v>
      </c>
      <c r="AF117">
        <v>60</v>
      </c>
      <c r="AH117">
        <v>600</v>
      </c>
      <c r="AJ117">
        <v>1180</v>
      </c>
      <c r="AM117">
        <v>570</v>
      </c>
      <c r="AN117">
        <v>612</v>
      </c>
      <c r="AQ117">
        <f t="shared" si="9"/>
        <v>0.51864406779661021</v>
      </c>
      <c r="AR117">
        <f t="shared" si="10"/>
        <v>11.36</v>
      </c>
      <c r="AS117">
        <v>0.8</v>
      </c>
      <c r="AT117">
        <v>1</v>
      </c>
      <c r="AU117">
        <v>1.8</v>
      </c>
      <c r="AV117" s="6" t="s">
        <v>464</v>
      </c>
      <c r="AX117">
        <f t="shared" si="11"/>
        <v>856.8</v>
      </c>
    </row>
    <row r="118" spans="1:66">
      <c r="A118" t="s">
        <v>80</v>
      </c>
      <c r="B118" s="5" t="s">
        <v>420</v>
      </c>
      <c r="C118" t="s">
        <v>166</v>
      </c>
      <c r="D118" s="11" t="s">
        <v>423</v>
      </c>
      <c r="E118" s="11" t="s">
        <v>403</v>
      </c>
      <c r="H118" t="s">
        <v>414</v>
      </c>
      <c r="J118" t="s">
        <v>74</v>
      </c>
      <c r="L118" s="11" t="s">
        <v>128</v>
      </c>
      <c r="P118" t="s">
        <v>82</v>
      </c>
      <c r="Q118" t="s">
        <v>427</v>
      </c>
      <c r="R118" s="7" t="s">
        <v>428</v>
      </c>
      <c r="T118">
        <v>5.0000000000000001E-3</v>
      </c>
      <c r="U118">
        <v>3</v>
      </c>
      <c r="Z118" t="s">
        <v>425</v>
      </c>
      <c r="AC118">
        <v>0.08</v>
      </c>
      <c r="AD118">
        <v>0.08</v>
      </c>
      <c r="AE118">
        <v>60</v>
      </c>
      <c r="AF118">
        <v>60</v>
      </c>
      <c r="AH118">
        <v>750</v>
      </c>
      <c r="AJ118">
        <v>902</v>
      </c>
      <c r="AM118">
        <v>664</v>
      </c>
      <c r="AN118">
        <v>752</v>
      </c>
      <c r="AQ118">
        <f t="shared" si="9"/>
        <v>0.83370288248337032</v>
      </c>
      <c r="AR118">
        <f t="shared" si="10"/>
        <v>3</v>
      </c>
      <c r="AS118">
        <v>0.8</v>
      </c>
      <c r="AT118">
        <v>1.1000000000000001</v>
      </c>
      <c r="AU118">
        <v>2</v>
      </c>
      <c r="AV118" s="6"/>
      <c r="AX118">
        <f t="shared" si="11"/>
        <v>1165.6000000000001</v>
      </c>
    </row>
    <row r="119" spans="1:66">
      <c r="A119" t="s">
        <v>80</v>
      </c>
      <c r="B119" s="5" t="s">
        <v>421</v>
      </c>
      <c r="C119" t="s">
        <v>166</v>
      </c>
      <c r="D119" s="11" t="s">
        <v>423</v>
      </c>
      <c r="E119" s="11" t="s">
        <v>403</v>
      </c>
      <c r="H119" t="s">
        <v>422</v>
      </c>
      <c r="J119" t="s">
        <v>74</v>
      </c>
      <c r="L119" s="11" t="s">
        <v>128</v>
      </c>
      <c r="P119" t="s">
        <v>100</v>
      </c>
      <c r="Q119" t="s">
        <v>427</v>
      </c>
      <c r="R119" s="7" t="s">
        <v>428</v>
      </c>
      <c r="T119">
        <v>5.0000000000000001E-3</v>
      </c>
      <c r="U119">
        <v>3</v>
      </c>
      <c r="Z119" t="s">
        <v>424</v>
      </c>
      <c r="AC119">
        <v>0.08</v>
      </c>
      <c r="AD119">
        <v>0.08</v>
      </c>
      <c r="AE119">
        <v>60</v>
      </c>
      <c r="AF119">
        <v>60</v>
      </c>
      <c r="AH119">
        <v>750</v>
      </c>
      <c r="AJ119">
        <v>780</v>
      </c>
      <c r="AM119">
        <v>135</v>
      </c>
      <c r="AN119">
        <v>114</v>
      </c>
      <c r="AQ119">
        <f t="shared" si="9"/>
        <v>0.14615384615384616</v>
      </c>
      <c r="AR119">
        <f t="shared" si="10"/>
        <v>13.32</v>
      </c>
      <c r="AS119">
        <v>1</v>
      </c>
      <c r="AT119">
        <v>1.2</v>
      </c>
      <c r="AU119">
        <v>2</v>
      </c>
      <c r="AV119" s="6"/>
      <c r="AX119">
        <f t="shared" si="11"/>
        <v>182.4</v>
      </c>
    </row>
    <row r="120" spans="1:66">
      <c r="A120">
        <v>25</v>
      </c>
      <c r="B120" s="5" t="s">
        <v>429</v>
      </c>
      <c r="C120" t="s">
        <v>166</v>
      </c>
      <c r="D120" s="11" t="s">
        <v>423</v>
      </c>
      <c r="E120" s="11" t="s">
        <v>403</v>
      </c>
      <c r="H120" t="s">
        <v>414</v>
      </c>
      <c r="J120" t="s">
        <v>74</v>
      </c>
      <c r="L120" s="11" t="s">
        <v>437</v>
      </c>
      <c r="Q120" t="s">
        <v>431</v>
      </c>
      <c r="R120" s="7" t="s">
        <v>432</v>
      </c>
      <c r="T120">
        <v>5.0000000000000001E-3</v>
      </c>
      <c r="U120">
        <v>3</v>
      </c>
      <c r="V120">
        <v>1.7500000000000002E-2</v>
      </c>
      <c r="Y120" t="s">
        <v>418</v>
      </c>
      <c r="Z120" t="s">
        <v>430</v>
      </c>
      <c r="AA120" t="s">
        <v>321</v>
      </c>
      <c r="AC120">
        <v>7.0000000000000007E-2</v>
      </c>
      <c r="AD120">
        <v>7.0000000000000007E-2</v>
      </c>
      <c r="AE120">
        <v>60</v>
      </c>
      <c r="AF120">
        <v>60</v>
      </c>
      <c r="AH120">
        <v>857</v>
      </c>
      <c r="AJ120">
        <v>1180</v>
      </c>
      <c r="AM120">
        <v>905</v>
      </c>
      <c r="AN120">
        <v>896</v>
      </c>
      <c r="AQ120">
        <f t="shared" si="9"/>
        <v>0.7593220338983051</v>
      </c>
      <c r="AR120">
        <f t="shared" si="10"/>
        <v>5.68</v>
      </c>
      <c r="AS120">
        <v>0.85</v>
      </c>
      <c r="AT120">
        <v>1.2</v>
      </c>
      <c r="AU120">
        <v>1.9</v>
      </c>
      <c r="AV120" s="6"/>
      <c r="AW120" t="s">
        <v>501</v>
      </c>
      <c r="AX120">
        <f t="shared" si="11"/>
        <v>1388.7999999999997</v>
      </c>
      <c r="BN120">
        <v>2.5</v>
      </c>
    </row>
    <row r="121" spans="1:66">
      <c r="A121" t="s">
        <v>80</v>
      </c>
      <c r="B121" s="5" t="s">
        <v>434</v>
      </c>
      <c r="C121" t="s">
        <v>166</v>
      </c>
      <c r="D121" s="11" t="s">
        <v>435</v>
      </c>
      <c r="E121" s="11" t="s">
        <v>403</v>
      </c>
      <c r="H121" t="s">
        <v>399</v>
      </c>
      <c r="J121" t="s">
        <v>74</v>
      </c>
      <c r="L121" s="11" t="s">
        <v>84</v>
      </c>
      <c r="Q121" t="s">
        <v>438</v>
      </c>
      <c r="R121" s="7" t="s">
        <v>439</v>
      </c>
      <c r="T121">
        <v>0.01</v>
      </c>
      <c r="U121">
        <v>3</v>
      </c>
      <c r="V121">
        <v>0.01</v>
      </c>
      <c r="X121" t="s">
        <v>114</v>
      </c>
      <c r="Y121" t="s">
        <v>436</v>
      </c>
      <c r="AE121">
        <v>40</v>
      </c>
      <c r="AF121">
        <v>40</v>
      </c>
      <c r="AJ121">
        <v>1154.2</v>
      </c>
      <c r="AM121">
        <v>847</v>
      </c>
      <c r="AN121">
        <v>718</v>
      </c>
      <c r="AQ121">
        <f t="shared" si="9"/>
        <v>0.6220758967250043</v>
      </c>
      <c r="AR121">
        <f t="shared" si="10"/>
        <v>8.7240000000000002</v>
      </c>
      <c r="AS121">
        <v>1.02</v>
      </c>
      <c r="AT121">
        <v>1.1000000000000001</v>
      </c>
      <c r="AU121">
        <v>2.2999999999999998</v>
      </c>
      <c r="AV121" s="6"/>
      <c r="AX121">
        <f t="shared" si="11"/>
        <v>1220.5999999999999</v>
      </c>
    </row>
    <row r="122" spans="1:66">
      <c r="A122" t="s">
        <v>80</v>
      </c>
      <c r="B122" s="5" t="s">
        <v>440</v>
      </c>
      <c r="C122" t="s">
        <v>166</v>
      </c>
      <c r="D122" s="11" t="s">
        <v>423</v>
      </c>
      <c r="E122" s="11" t="s">
        <v>403</v>
      </c>
      <c r="H122" t="s">
        <v>414</v>
      </c>
      <c r="J122" t="s">
        <v>74</v>
      </c>
      <c r="L122" s="11" t="s">
        <v>437</v>
      </c>
      <c r="P122" t="s">
        <v>82</v>
      </c>
      <c r="Q122" t="s">
        <v>441</v>
      </c>
      <c r="R122" t="s">
        <v>442</v>
      </c>
      <c r="T122">
        <v>5.0000000000000001E-4</v>
      </c>
      <c r="U122">
        <v>3</v>
      </c>
      <c r="V122">
        <v>1.4999999999999999E-2</v>
      </c>
      <c r="Y122" t="s">
        <v>418</v>
      </c>
      <c r="Z122" t="s">
        <v>443</v>
      </c>
      <c r="AC122">
        <v>7.4999999999999997E-2</v>
      </c>
      <c r="AD122">
        <v>7.4999999999999997E-2</v>
      </c>
      <c r="AE122">
        <v>60</v>
      </c>
      <c r="AF122">
        <v>60</v>
      </c>
      <c r="AH122">
        <v>800</v>
      </c>
      <c r="AJ122">
        <v>1147</v>
      </c>
      <c r="AM122">
        <v>741</v>
      </c>
      <c r="AN122">
        <v>707</v>
      </c>
      <c r="AQ122" t="s">
        <v>503</v>
      </c>
      <c r="AR122">
        <f t="shared" si="10"/>
        <v>8.8000000000000007</v>
      </c>
      <c r="AS122">
        <v>1.25</v>
      </c>
      <c r="AT122">
        <v>1.3</v>
      </c>
      <c r="AU122">
        <v>2.1</v>
      </c>
      <c r="AV122" s="6"/>
      <c r="AW122" t="s">
        <v>502</v>
      </c>
      <c r="AX122">
        <f t="shared" si="11"/>
        <v>1201.9000000000001</v>
      </c>
      <c r="BJ122">
        <v>319</v>
      </c>
      <c r="BN122">
        <v>2.8</v>
      </c>
    </row>
    <row r="123" spans="1:66">
      <c r="A123" t="s">
        <v>80</v>
      </c>
      <c r="B123" s="5" t="s">
        <v>467</v>
      </c>
      <c r="C123" t="s">
        <v>166</v>
      </c>
      <c r="D123" s="11" t="s">
        <v>470</v>
      </c>
      <c r="H123" t="s">
        <v>473</v>
      </c>
      <c r="J123" t="s">
        <v>74</v>
      </c>
      <c r="L123" s="11" t="s">
        <v>471</v>
      </c>
      <c r="P123" t="s">
        <v>475</v>
      </c>
      <c r="Q123" t="s">
        <v>468</v>
      </c>
      <c r="R123" s="7" t="s">
        <v>469</v>
      </c>
      <c r="T123">
        <v>0.8</v>
      </c>
      <c r="U123">
        <v>2.4</v>
      </c>
      <c r="V123">
        <v>4.5999999999999996</v>
      </c>
      <c r="W123">
        <v>2.9999999999999997E-4</v>
      </c>
      <c r="AC123">
        <v>0.1</v>
      </c>
      <c r="AD123">
        <v>0.1</v>
      </c>
      <c r="AJ123">
        <v>675</v>
      </c>
      <c r="AM123">
        <v>136</v>
      </c>
      <c r="AP123" t="s">
        <v>476</v>
      </c>
      <c r="AS123">
        <v>1.8</v>
      </c>
      <c r="AV123">
        <v>1.6</v>
      </c>
    </row>
    <row r="124" spans="1:66">
      <c r="A124" t="s">
        <v>80</v>
      </c>
      <c r="B124" s="5" t="s">
        <v>474</v>
      </c>
      <c r="C124" t="s">
        <v>166</v>
      </c>
      <c r="D124" s="11" t="s">
        <v>470</v>
      </c>
      <c r="H124" t="s">
        <v>473</v>
      </c>
      <c r="J124" t="s">
        <v>74</v>
      </c>
      <c r="L124" s="11" t="s">
        <v>471</v>
      </c>
      <c r="P124" t="s">
        <v>475</v>
      </c>
      <c r="Q124" t="s">
        <v>468</v>
      </c>
      <c r="R124" s="7" t="s">
        <v>469</v>
      </c>
      <c r="T124">
        <v>0.8</v>
      </c>
      <c r="U124">
        <v>2.4</v>
      </c>
      <c r="V124">
        <v>4.5</v>
      </c>
      <c r="W124">
        <v>2.7E-4</v>
      </c>
      <c r="AC124">
        <v>0.1</v>
      </c>
      <c r="AD124">
        <v>0.1</v>
      </c>
      <c r="AJ124">
        <v>607</v>
      </c>
      <c r="AM124">
        <v>201</v>
      </c>
      <c r="AP124" t="s">
        <v>393</v>
      </c>
      <c r="AS124">
        <v>1.7</v>
      </c>
    </row>
    <row r="125" spans="1:66">
      <c r="A125" t="s">
        <v>80</v>
      </c>
      <c r="B125" s="5" t="s">
        <v>467</v>
      </c>
      <c r="C125" t="s">
        <v>166</v>
      </c>
      <c r="D125" s="11" t="s">
        <v>470</v>
      </c>
      <c r="H125" t="s">
        <v>472</v>
      </c>
      <c r="J125" t="s">
        <v>74</v>
      </c>
      <c r="L125" s="11" t="s">
        <v>471</v>
      </c>
      <c r="P125" t="s">
        <v>475</v>
      </c>
      <c r="Q125" t="s">
        <v>468</v>
      </c>
      <c r="R125" s="7" t="s">
        <v>469</v>
      </c>
      <c r="T125">
        <v>0.8</v>
      </c>
      <c r="U125">
        <v>2.4</v>
      </c>
      <c r="V125">
        <v>2.69</v>
      </c>
      <c r="W125">
        <v>4.2000000000000002E-4</v>
      </c>
      <c r="AC125">
        <v>0.1</v>
      </c>
      <c r="AD125">
        <v>0.1</v>
      </c>
      <c r="AJ125">
        <v>608</v>
      </c>
      <c r="AM125">
        <v>273</v>
      </c>
      <c r="AP125" t="s">
        <v>393</v>
      </c>
      <c r="AS125">
        <v>1.5</v>
      </c>
      <c r="AV125">
        <v>1.6</v>
      </c>
    </row>
    <row r="126" spans="1:66">
      <c r="A126" t="s">
        <v>80</v>
      </c>
      <c r="B126" s="5" t="s">
        <v>474</v>
      </c>
      <c r="C126" t="s">
        <v>166</v>
      </c>
      <c r="D126" s="11" t="s">
        <v>470</v>
      </c>
      <c r="H126" t="s">
        <v>472</v>
      </c>
      <c r="J126" t="s">
        <v>74</v>
      </c>
      <c r="L126" s="11" t="s">
        <v>471</v>
      </c>
      <c r="P126" t="s">
        <v>475</v>
      </c>
      <c r="Q126" t="s">
        <v>468</v>
      </c>
      <c r="R126" s="7" t="s">
        <v>469</v>
      </c>
      <c r="T126">
        <v>0.8</v>
      </c>
      <c r="U126">
        <v>2.4</v>
      </c>
      <c r="V126">
        <v>1.89</v>
      </c>
      <c r="W126">
        <v>4.6999999999999999E-4</v>
      </c>
      <c r="AC126">
        <v>0.1</v>
      </c>
      <c r="AD126">
        <v>0.1</v>
      </c>
      <c r="AJ126">
        <v>938</v>
      </c>
      <c r="AM126">
        <v>228</v>
      </c>
      <c r="AP126" t="s">
        <v>393</v>
      </c>
      <c r="AS126">
        <v>1.7</v>
      </c>
    </row>
    <row r="127" spans="1:66">
      <c r="A127" t="s">
        <v>80</v>
      </c>
      <c r="B127" s="5" t="s">
        <v>478</v>
      </c>
      <c r="C127" t="s">
        <v>166</v>
      </c>
      <c r="D127" s="11" t="s">
        <v>480</v>
      </c>
      <c r="E127" s="11" t="s">
        <v>403</v>
      </c>
      <c r="H127" t="s">
        <v>281</v>
      </c>
      <c r="J127" t="s">
        <v>74</v>
      </c>
      <c r="L127" s="11" t="s">
        <v>479</v>
      </c>
      <c r="P127" t="s">
        <v>82</v>
      </c>
      <c r="Q127" t="s">
        <v>483</v>
      </c>
      <c r="R127" s="7" t="s">
        <v>477</v>
      </c>
      <c r="T127">
        <v>1</v>
      </c>
      <c r="U127">
        <v>3</v>
      </c>
      <c r="V127" t="s">
        <v>481</v>
      </c>
      <c r="AC127">
        <v>0.33</v>
      </c>
      <c r="AD127">
        <v>0.33</v>
      </c>
      <c r="AE127">
        <v>150</v>
      </c>
      <c r="AF127">
        <v>150</v>
      </c>
      <c r="AH127">
        <v>462</v>
      </c>
      <c r="AJ127">
        <v>302</v>
      </c>
      <c r="AM127">
        <v>257</v>
      </c>
      <c r="AN127">
        <v>205</v>
      </c>
      <c r="AO127">
        <v>161</v>
      </c>
      <c r="AQ127">
        <f>AN127/AJ127</f>
        <v>0.67880794701986757</v>
      </c>
      <c r="AR127">
        <f>(AJ127-AN127)/50</f>
        <v>1.94</v>
      </c>
      <c r="AS127">
        <v>1.5</v>
      </c>
      <c r="AT127">
        <v>1.5</v>
      </c>
      <c r="AU127">
        <v>2.1</v>
      </c>
      <c r="AV127">
        <v>1.4</v>
      </c>
      <c r="AW127" t="s">
        <v>482</v>
      </c>
      <c r="AX127">
        <f>AN127*(AT127+(AU127-AT127)/2)</f>
        <v>369</v>
      </c>
    </row>
    <row r="128" spans="1:66" s="23" customFormat="1">
      <c r="A128" s="23" t="s">
        <v>80</v>
      </c>
      <c r="B128" s="23" t="s">
        <v>506</v>
      </c>
      <c r="C128" s="23" t="s">
        <v>166</v>
      </c>
      <c r="D128" s="24" t="s">
        <v>508</v>
      </c>
      <c r="E128" s="24"/>
      <c r="F128" s="23" t="s">
        <v>513</v>
      </c>
      <c r="H128" s="23" t="s">
        <v>161</v>
      </c>
      <c r="J128" s="23" t="s">
        <v>120</v>
      </c>
      <c r="L128" s="24" t="s">
        <v>510</v>
      </c>
      <c r="Q128" s="23" t="s">
        <v>504</v>
      </c>
      <c r="R128" s="25" t="s">
        <v>505</v>
      </c>
      <c r="T128" s="23">
        <v>0</v>
      </c>
      <c r="U128" s="23">
        <v>1.2</v>
      </c>
      <c r="V128" s="23">
        <v>20</v>
      </c>
      <c r="X128" s="23" t="s">
        <v>223</v>
      </c>
      <c r="AC128" s="23">
        <v>7.0000000000000007E-2</v>
      </c>
      <c r="AD128" s="23">
        <v>7.0000000000000007E-2</v>
      </c>
      <c r="AE128" s="23">
        <v>300</v>
      </c>
      <c r="AF128" s="23">
        <v>300</v>
      </c>
      <c r="AH128" s="23">
        <v>4200</v>
      </c>
      <c r="AS128" s="23" t="s">
        <v>108</v>
      </c>
      <c r="AT128" s="23">
        <v>0.15</v>
      </c>
      <c r="AU128" s="23" t="s">
        <v>511</v>
      </c>
    </row>
    <row r="129" spans="1:51" s="23" customFormat="1">
      <c r="A129" s="23" t="s">
        <v>80</v>
      </c>
      <c r="B129" s="23" t="s">
        <v>506</v>
      </c>
      <c r="C129" s="23" t="s">
        <v>166</v>
      </c>
      <c r="D129" s="24" t="s">
        <v>509</v>
      </c>
      <c r="E129" s="24"/>
      <c r="F129" s="23" t="s">
        <v>513</v>
      </c>
      <c r="H129" s="23" t="s">
        <v>161</v>
      </c>
      <c r="L129" s="24" t="s">
        <v>510</v>
      </c>
      <c r="Q129" s="23" t="s">
        <v>504</v>
      </c>
      <c r="R129" s="25" t="s">
        <v>505</v>
      </c>
      <c r="T129" s="23">
        <v>0</v>
      </c>
      <c r="U129" s="23">
        <v>1.2</v>
      </c>
      <c r="V129" s="23">
        <v>20</v>
      </c>
      <c r="X129" s="23" t="s">
        <v>223</v>
      </c>
      <c r="AC129" s="23">
        <v>7.0000000000000007E-2</v>
      </c>
      <c r="AD129" s="23">
        <v>7.0000000000000007E-2</v>
      </c>
      <c r="AE129" s="23">
        <v>300</v>
      </c>
      <c r="AF129" s="23">
        <v>300</v>
      </c>
      <c r="AH129" s="23">
        <v>4200</v>
      </c>
    </row>
    <row r="130" spans="1:51" s="23" customFormat="1">
      <c r="A130" s="23" t="s">
        <v>80</v>
      </c>
      <c r="B130" s="23" t="s">
        <v>506</v>
      </c>
      <c r="C130" s="23" t="s">
        <v>166</v>
      </c>
      <c r="D130" s="24" t="s">
        <v>508</v>
      </c>
      <c r="E130" s="24"/>
      <c r="F130" s="23" t="s">
        <v>513</v>
      </c>
      <c r="H130" s="23" t="s">
        <v>507</v>
      </c>
      <c r="L130" s="24" t="s">
        <v>510</v>
      </c>
      <c r="Q130" s="23" t="s">
        <v>504</v>
      </c>
      <c r="R130" s="25" t="s">
        <v>505</v>
      </c>
      <c r="T130" s="23">
        <v>0</v>
      </c>
      <c r="U130" s="23">
        <v>1.2</v>
      </c>
      <c r="V130" s="23">
        <v>3</v>
      </c>
      <c r="X130" s="23" t="s">
        <v>223</v>
      </c>
      <c r="AC130" s="23">
        <v>7.0000000000000007E-2</v>
      </c>
      <c r="AD130" s="23">
        <v>7.0000000000000007E-2</v>
      </c>
      <c r="AE130" s="23">
        <v>300</v>
      </c>
      <c r="AF130" s="23">
        <v>300</v>
      </c>
      <c r="AH130" s="23">
        <v>4200</v>
      </c>
      <c r="AS130" s="23">
        <v>0.15</v>
      </c>
      <c r="AT130" s="23">
        <v>0.15</v>
      </c>
      <c r="AU130" s="23" t="s">
        <v>511</v>
      </c>
    </row>
    <row r="131" spans="1:51" s="23" customFormat="1">
      <c r="A131" s="23" t="s">
        <v>80</v>
      </c>
      <c r="B131" s="23" t="s">
        <v>506</v>
      </c>
      <c r="C131" s="23" t="s">
        <v>166</v>
      </c>
      <c r="D131" s="24" t="s">
        <v>509</v>
      </c>
      <c r="E131" s="24"/>
      <c r="F131" s="23" t="s">
        <v>513</v>
      </c>
      <c r="H131" s="23" t="s">
        <v>507</v>
      </c>
      <c r="L131" s="24" t="s">
        <v>510</v>
      </c>
      <c r="Q131" s="23" t="s">
        <v>504</v>
      </c>
      <c r="R131" s="25" t="s">
        <v>505</v>
      </c>
      <c r="T131" s="23">
        <v>0</v>
      </c>
      <c r="U131" s="23">
        <v>1.2</v>
      </c>
      <c r="V131" s="23">
        <v>3</v>
      </c>
      <c r="X131" s="23" t="s">
        <v>223</v>
      </c>
      <c r="AC131" s="23">
        <v>7.0000000000000007E-2</v>
      </c>
      <c r="AD131" s="23">
        <v>7.0000000000000007E-2</v>
      </c>
      <c r="AE131" s="23">
        <v>300</v>
      </c>
      <c r="AF131" s="23">
        <v>300</v>
      </c>
      <c r="AH131" s="23">
        <v>4200</v>
      </c>
      <c r="AS131" s="23">
        <v>0.15</v>
      </c>
      <c r="AT131" s="23">
        <v>0.15</v>
      </c>
      <c r="AU131" s="23" t="s">
        <v>511</v>
      </c>
      <c r="AW131" s="23" t="s">
        <v>512</v>
      </c>
    </row>
    <row r="132" spans="1:51" s="13" customFormat="1">
      <c r="A132" s="13">
        <v>20</v>
      </c>
      <c r="B132" s="26" t="s">
        <v>514</v>
      </c>
      <c r="C132" s="26" t="s">
        <v>166</v>
      </c>
      <c r="D132" s="29" t="s">
        <v>517</v>
      </c>
      <c r="E132" s="27" t="s">
        <v>403</v>
      </c>
      <c r="H132" s="26" t="s">
        <v>473</v>
      </c>
      <c r="J132" s="13" t="s">
        <v>74</v>
      </c>
      <c r="L132" s="29" t="s">
        <v>518</v>
      </c>
      <c r="Q132" s="26" t="s">
        <v>515</v>
      </c>
      <c r="R132" s="28" t="s">
        <v>516</v>
      </c>
      <c r="T132" s="26">
        <v>2.5000000000000001E-2</v>
      </c>
      <c r="U132" s="26">
        <v>0.65</v>
      </c>
      <c r="V132" s="26">
        <v>960</v>
      </c>
      <c r="X132" s="26" t="s">
        <v>169</v>
      </c>
      <c r="Y132" s="13" t="s">
        <v>523</v>
      </c>
      <c r="AE132" s="26" t="s">
        <v>558</v>
      </c>
      <c r="AF132" s="26" t="s">
        <v>558</v>
      </c>
      <c r="AJ132" s="13">
        <v>474</v>
      </c>
      <c r="AM132" s="13">
        <v>21</v>
      </c>
      <c r="AS132" s="13" t="s">
        <v>559</v>
      </c>
      <c r="AT132" s="13" t="s">
        <v>560</v>
      </c>
      <c r="AU132" s="26" t="s">
        <v>561</v>
      </c>
      <c r="AW132" s="13" t="s">
        <v>519</v>
      </c>
    </row>
    <row r="133" spans="1:51" s="31" customFormat="1">
      <c r="A133" s="23"/>
      <c r="B133" s="23"/>
      <c r="C133" s="23" t="s">
        <v>166</v>
      </c>
      <c r="D133" s="24" t="s">
        <v>530</v>
      </c>
      <c r="E133" s="30"/>
      <c r="H133" s="23" t="s">
        <v>528</v>
      </c>
      <c r="J133" s="31" t="s">
        <v>74</v>
      </c>
      <c r="L133" s="24" t="s">
        <v>529</v>
      </c>
      <c r="Q133" s="23" t="s">
        <v>527</v>
      </c>
      <c r="R133" s="32"/>
      <c r="T133" s="23"/>
      <c r="U133" s="23"/>
      <c r="X133" s="23" t="s">
        <v>386</v>
      </c>
      <c r="Y133" s="31" t="s">
        <v>418</v>
      </c>
      <c r="AH133" s="23"/>
    </row>
    <row r="134" spans="1:51" s="13" customFormat="1">
      <c r="B134" s="26" t="s">
        <v>506</v>
      </c>
      <c r="C134" s="26" t="s">
        <v>166</v>
      </c>
      <c r="D134" s="27" t="s">
        <v>517</v>
      </c>
      <c r="E134" s="27"/>
      <c r="J134" s="13" t="s">
        <v>74</v>
      </c>
      <c r="L134" s="29" t="s">
        <v>128</v>
      </c>
      <c r="P134" s="13" t="s">
        <v>568</v>
      </c>
      <c r="Q134" s="26" t="s">
        <v>531</v>
      </c>
      <c r="R134" s="7" t="s">
        <v>532</v>
      </c>
      <c r="T134" s="13">
        <v>5.0000000000000001E-3</v>
      </c>
      <c r="U134" s="13">
        <v>1.5</v>
      </c>
      <c r="X134" s="26" t="s">
        <v>145</v>
      </c>
      <c r="Y134" s="13" t="s">
        <v>85</v>
      </c>
      <c r="AC134" s="13">
        <v>0.1</v>
      </c>
      <c r="AD134" s="13">
        <v>0.1</v>
      </c>
      <c r="AS134" s="13">
        <v>0.26</v>
      </c>
      <c r="AU134" s="13" t="s">
        <v>536</v>
      </c>
      <c r="AW134" s="13" t="s">
        <v>534</v>
      </c>
      <c r="AX134"/>
      <c r="AY134"/>
    </row>
    <row r="135" spans="1:51" s="13" customFormat="1">
      <c r="B135" s="26" t="s">
        <v>533</v>
      </c>
      <c r="C135" s="26" t="s">
        <v>166</v>
      </c>
      <c r="D135" s="27" t="s">
        <v>517</v>
      </c>
      <c r="E135" s="27"/>
      <c r="J135" s="13" t="s">
        <v>74</v>
      </c>
      <c r="L135" s="29" t="s">
        <v>128</v>
      </c>
      <c r="P135" s="13" t="s">
        <v>568</v>
      </c>
      <c r="Q135" s="26" t="s">
        <v>531</v>
      </c>
      <c r="R135" s="7" t="s">
        <v>532</v>
      </c>
      <c r="T135" s="13">
        <v>5.0000000000000001E-3</v>
      </c>
      <c r="U135" s="13">
        <v>1.5</v>
      </c>
      <c r="X135" s="26" t="s">
        <v>145</v>
      </c>
      <c r="Y135" s="13" t="s">
        <v>85</v>
      </c>
      <c r="AC135" s="13">
        <v>0.1</v>
      </c>
      <c r="AD135" s="13">
        <v>0.1</v>
      </c>
      <c r="AJ135" s="13">
        <v>1019</v>
      </c>
      <c r="AM135" s="13">
        <v>677</v>
      </c>
      <c r="AN135" s="13">
        <v>681</v>
      </c>
      <c r="AQ135">
        <f>AN135/AJ135</f>
        <v>0.6683022571148185</v>
      </c>
      <c r="AR135">
        <f>(AJ135-AN135)/50</f>
        <v>6.76</v>
      </c>
      <c r="AW135" s="13" t="s">
        <v>534</v>
      </c>
    </row>
    <row r="136" spans="1:51" s="13" customFormat="1">
      <c r="B136" s="26" t="s">
        <v>535</v>
      </c>
      <c r="C136" s="26" t="s">
        <v>166</v>
      </c>
      <c r="D136" s="27" t="s">
        <v>517</v>
      </c>
      <c r="E136" s="27"/>
      <c r="H136" s="13" t="s">
        <v>537</v>
      </c>
      <c r="J136" s="13" t="s">
        <v>74</v>
      </c>
      <c r="L136" s="29" t="s">
        <v>128</v>
      </c>
      <c r="P136" s="13" t="s">
        <v>568</v>
      </c>
      <c r="Q136" s="26" t="s">
        <v>531</v>
      </c>
      <c r="R136" s="7" t="s">
        <v>532</v>
      </c>
      <c r="T136" s="13">
        <v>5.0000000000000001E-3</v>
      </c>
      <c r="U136" s="13">
        <v>1.5</v>
      </c>
      <c r="X136" s="26" t="s">
        <v>145</v>
      </c>
      <c r="Y136" s="13" t="s">
        <v>85</v>
      </c>
      <c r="AC136" s="13">
        <v>0.1</v>
      </c>
      <c r="AD136" s="13">
        <v>0.1</v>
      </c>
      <c r="AJ136" s="13">
        <v>835</v>
      </c>
      <c r="AM136" s="13">
        <v>728</v>
      </c>
      <c r="AN136" s="13">
        <v>729</v>
      </c>
      <c r="AQ136">
        <f>AN136/AJ136</f>
        <v>0.87305389221556884</v>
      </c>
      <c r="AR136">
        <f>(AJ136-AN136)/50</f>
        <v>2.12</v>
      </c>
      <c r="AS136" s="13">
        <v>0.26</v>
      </c>
      <c r="AU136" s="13" t="s">
        <v>536</v>
      </c>
      <c r="AW136" s="13" t="s">
        <v>534</v>
      </c>
    </row>
    <row r="137" spans="1:51" s="13" customFormat="1">
      <c r="A137" s="13" t="s">
        <v>80</v>
      </c>
      <c r="B137" s="26" t="s">
        <v>538</v>
      </c>
      <c r="C137" s="26" t="s">
        <v>166</v>
      </c>
      <c r="D137" s="27" t="s">
        <v>541</v>
      </c>
      <c r="E137" s="27" t="s">
        <v>403</v>
      </c>
      <c r="H137" s="13" t="s">
        <v>507</v>
      </c>
      <c r="J137" s="13" t="s">
        <v>74</v>
      </c>
      <c r="L137" s="29" t="s">
        <v>542</v>
      </c>
      <c r="P137" s="13" t="s">
        <v>568</v>
      </c>
      <c r="Q137" s="26" t="s">
        <v>540</v>
      </c>
      <c r="R137" s="7" t="s">
        <v>539</v>
      </c>
      <c r="T137" s="13">
        <v>0</v>
      </c>
      <c r="U137" s="13">
        <v>1.5</v>
      </c>
      <c r="V137" s="33" t="s">
        <v>566</v>
      </c>
      <c r="X137" s="26" t="s">
        <v>98</v>
      </c>
      <c r="Y137" s="13" t="s">
        <v>436</v>
      </c>
      <c r="AE137" s="13" t="s">
        <v>543</v>
      </c>
      <c r="AF137" s="13" t="s">
        <v>543</v>
      </c>
      <c r="AJ137" s="13">
        <v>1556</v>
      </c>
      <c r="AM137" s="13">
        <v>729</v>
      </c>
      <c r="AN137" s="13">
        <v>697</v>
      </c>
      <c r="AP137" s="13" t="s">
        <v>544</v>
      </c>
      <c r="AQ137">
        <f>AN137/AJ137</f>
        <v>0.44794344473007713</v>
      </c>
      <c r="AR137">
        <f>(AJ137-AN137)/50</f>
        <v>17.18</v>
      </c>
      <c r="AS137" s="13">
        <v>0.6</v>
      </c>
      <c r="AT137" s="13" t="s">
        <v>545</v>
      </c>
      <c r="AU137" s="13">
        <v>0.6</v>
      </c>
      <c r="AX137"/>
      <c r="AY137"/>
    </row>
    <row r="138" spans="1:51" s="13" customFormat="1">
      <c r="A138" s="13" t="s">
        <v>80</v>
      </c>
      <c r="B138" s="26" t="s">
        <v>548</v>
      </c>
      <c r="C138" s="13" t="s">
        <v>166</v>
      </c>
      <c r="D138" s="27" t="s">
        <v>551</v>
      </c>
      <c r="E138" s="27" t="s">
        <v>403</v>
      </c>
      <c r="H138" s="13" t="s">
        <v>556</v>
      </c>
      <c r="J138" s="13" t="s">
        <v>74</v>
      </c>
      <c r="L138" s="27" t="s">
        <v>557</v>
      </c>
      <c r="P138" s="13" t="s">
        <v>568</v>
      </c>
      <c r="Q138" s="26" t="s">
        <v>546</v>
      </c>
      <c r="R138" s="7" t="s">
        <v>547</v>
      </c>
      <c r="T138" s="13">
        <v>0.02</v>
      </c>
      <c r="U138" s="13">
        <v>1.4</v>
      </c>
      <c r="V138" s="13">
        <v>0.05</v>
      </c>
      <c r="Y138" s="13" t="s">
        <v>553</v>
      </c>
      <c r="AE138" s="13" t="s">
        <v>125</v>
      </c>
      <c r="AF138" s="13" t="s">
        <v>125</v>
      </c>
      <c r="AJ138" s="13">
        <v>2384</v>
      </c>
      <c r="AM138" s="13">
        <v>781</v>
      </c>
      <c r="AP138" s="13" t="s">
        <v>393</v>
      </c>
      <c r="AS138" s="13" t="s">
        <v>554</v>
      </c>
      <c r="AU138" s="13">
        <v>0.4</v>
      </c>
    </row>
    <row r="139" spans="1:51" s="13" customFormat="1">
      <c r="A139" s="13" t="s">
        <v>80</v>
      </c>
      <c r="B139" s="26" t="s">
        <v>549</v>
      </c>
      <c r="C139" s="13" t="s">
        <v>166</v>
      </c>
      <c r="D139" s="27" t="s">
        <v>551</v>
      </c>
      <c r="E139" s="27" t="s">
        <v>403</v>
      </c>
      <c r="H139" s="13" t="s">
        <v>556</v>
      </c>
      <c r="J139" s="13" t="s">
        <v>74</v>
      </c>
      <c r="L139" s="27" t="s">
        <v>557</v>
      </c>
      <c r="P139" s="13" t="s">
        <v>568</v>
      </c>
      <c r="Q139" s="26" t="s">
        <v>546</v>
      </c>
      <c r="R139" s="7" t="s">
        <v>547</v>
      </c>
      <c r="T139" s="13">
        <v>0.02</v>
      </c>
      <c r="U139" s="13">
        <v>1.4</v>
      </c>
      <c r="V139" s="13">
        <v>2</v>
      </c>
      <c r="W139" s="13">
        <v>4</v>
      </c>
      <c r="Y139" s="13" t="s">
        <v>553</v>
      </c>
      <c r="AE139" s="13" t="s">
        <v>125</v>
      </c>
      <c r="AF139" s="13" t="s">
        <v>125</v>
      </c>
      <c r="AJ139" s="13">
        <v>1871</v>
      </c>
      <c r="AM139" s="13">
        <v>564</v>
      </c>
      <c r="AP139" s="13" t="s">
        <v>178</v>
      </c>
      <c r="AS139" s="13">
        <v>0.4</v>
      </c>
      <c r="AU139" s="13">
        <v>0.4</v>
      </c>
    </row>
    <row r="140" spans="1:51" s="13" customFormat="1">
      <c r="A140" s="13" t="s">
        <v>80</v>
      </c>
      <c r="B140" s="26" t="s">
        <v>550</v>
      </c>
      <c r="C140" s="13" t="s">
        <v>166</v>
      </c>
      <c r="D140" s="27" t="s">
        <v>552</v>
      </c>
      <c r="E140" s="27" t="s">
        <v>403</v>
      </c>
      <c r="H140" s="13" t="s">
        <v>556</v>
      </c>
      <c r="J140" s="13" t="s">
        <v>74</v>
      </c>
      <c r="L140" s="27" t="s">
        <v>557</v>
      </c>
      <c r="P140" s="13" t="s">
        <v>568</v>
      </c>
      <c r="Q140" s="26" t="s">
        <v>546</v>
      </c>
      <c r="R140" s="7" t="s">
        <v>547</v>
      </c>
      <c r="T140" s="13">
        <v>0.02</v>
      </c>
      <c r="U140" s="13">
        <v>1.4</v>
      </c>
      <c r="V140" s="13">
        <v>0.03</v>
      </c>
      <c r="W140" s="13">
        <v>106</v>
      </c>
      <c r="Y140" s="13" t="s">
        <v>553</v>
      </c>
      <c r="AE140" s="13" t="s">
        <v>125</v>
      </c>
      <c r="AF140" s="13" t="s">
        <v>125</v>
      </c>
      <c r="AJ140" s="13">
        <v>1671</v>
      </c>
      <c r="AM140" s="13">
        <v>763</v>
      </c>
      <c r="AS140" s="13">
        <v>0.13</v>
      </c>
      <c r="AU140" s="13">
        <v>0.5</v>
      </c>
    </row>
    <row r="141" spans="1:51" s="13" customFormat="1">
      <c r="A141" s="13" t="s">
        <v>80</v>
      </c>
      <c r="B141" s="26" t="s">
        <v>550</v>
      </c>
      <c r="C141" s="13" t="s">
        <v>166</v>
      </c>
      <c r="D141" s="27" t="s">
        <v>551</v>
      </c>
      <c r="E141" s="27" t="s">
        <v>403</v>
      </c>
      <c r="H141" s="13" t="s">
        <v>556</v>
      </c>
      <c r="J141" s="13" t="s">
        <v>74</v>
      </c>
      <c r="L141" s="27" t="s">
        <v>557</v>
      </c>
      <c r="P141" s="13" t="s">
        <v>568</v>
      </c>
      <c r="Q141" s="26" t="s">
        <v>546</v>
      </c>
      <c r="R141" s="7" t="s">
        <v>547</v>
      </c>
      <c r="T141" s="13">
        <v>0.02</v>
      </c>
      <c r="U141" s="13">
        <v>1.4</v>
      </c>
      <c r="V141" s="13">
        <v>0.05</v>
      </c>
      <c r="W141" s="13">
        <v>79</v>
      </c>
      <c r="Y141" s="13" t="s">
        <v>553</v>
      </c>
      <c r="AE141" s="13" t="s">
        <v>125</v>
      </c>
      <c r="AF141" s="13" t="s">
        <v>125</v>
      </c>
      <c r="AJ141" s="13">
        <v>1338</v>
      </c>
      <c r="AM141" s="13">
        <v>710</v>
      </c>
      <c r="AS141" s="13" t="s">
        <v>555</v>
      </c>
      <c r="AU141" s="13">
        <v>0.5</v>
      </c>
    </row>
    <row r="142" spans="1:51" s="13" customFormat="1">
      <c r="A142" s="13" t="s">
        <v>80</v>
      </c>
      <c r="B142" s="26" t="s">
        <v>522</v>
      </c>
      <c r="C142" s="13" t="s">
        <v>166</v>
      </c>
      <c r="D142" s="27" t="s">
        <v>563</v>
      </c>
      <c r="E142" s="27" t="s">
        <v>403</v>
      </c>
      <c r="H142" s="13" t="s">
        <v>562</v>
      </c>
      <c r="J142" s="13" t="s">
        <v>74</v>
      </c>
      <c r="L142" s="27" t="s">
        <v>128</v>
      </c>
      <c r="P142" s="13" t="s">
        <v>568</v>
      </c>
      <c r="Q142" s="26" t="s">
        <v>520</v>
      </c>
      <c r="R142" s="7" t="s">
        <v>521</v>
      </c>
      <c r="T142" s="13">
        <v>5.0000000000000001E-3</v>
      </c>
      <c r="U142" s="13">
        <v>1.5</v>
      </c>
      <c r="V142" s="13" t="s">
        <v>564</v>
      </c>
      <c r="Y142" s="13" t="s">
        <v>215</v>
      </c>
      <c r="AE142" s="13" t="s">
        <v>567</v>
      </c>
      <c r="AF142" s="13" t="s">
        <v>567</v>
      </c>
      <c r="AH142" s="13">
        <v>3015</v>
      </c>
      <c r="AJ142" s="13">
        <v>1663</v>
      </c>
      <c r="AM142" s="13">
        <v>212</v>
      </c>
      <c r="AN142" s="13">
        <v>139</v>
      </c>
      <c r="AQ142">
        <f>AN142/AJ142</f>
        <v>8.35838845460012E-2</v>
      </c>
      <c r="AR142">
        <f>(AJ142-AN142)/50</f>
        <v>30.48</v>
      </c>
      <c r="AS142" s="13">
        <v>0.11</v>
      </c>
      <c r="AU142" s="13">
        <v>0.3</v>
      </c>
    </row>
    <row r="143" spans="1:51" s="13" customFormat="1">
      <c r="A143" s="13" t="s">
        <v>80</v>
      </c>
      <c r="B143" s="26" t="s">
        <v>522</v>
      </c>
      <c r="C143" s="13" t="s">
        <v>166</v>
      </c>
      <c r="D143" s="27" t="s">
        <v>563</v>
      </c>
      <c r="E143" s="27" t="s">
        <v>403</v>
      </c>
      <c r="H143" s="13" t="s">
        <v>507</v>
      </c>
      <c r="J143" s="13" t="s">
        <v>74</v>
      </c>
      <c r="L143" s="27" t="s">
        <v>128</v>
      </c>
      <c r="P143" s="13" t="s">
        <v>568</v>
      </c>
      <c r="Q143" s="26" t="s">
        <v>520</v>
      </c>
      <c r="R143" s="7" t="s">
        <v>521</v>
      </c>
      <c r="T143" s="13">
        <v>5.0000000000000001E-3</v>
      </c>
      <c r="U143" s="13">
        <v>1.5</v>
      </c>
      <c r="V143" s="33" t="s">
        <v>565</v>
      </c>
      <c r="Y143" s="13" t="s">
        <v>215</v>
      </c>
      <c r="AE143" s="13" t="s">
        <v>567</v>
      </c>
      <c r="AF143" s="13" t="s">
        <v>567</v>
      </c>
      <c r="AH143" s="13">
        <v>3015</v>
      </c>
      <c r="AJ143" s="13">
        <v>1951</v>
      </c>
      <c r="AM143" s="13">
        <v>330</v>
      </c>
      <c r="AN143" s="13">
        <v>215</v>
      </c>
      <c r="AQ143">
        <f>AN143/AJ143</f>
        <v>0.11019989748846745</v>
      </c>
      <c r="AR143">
        <f>(AJ143-AN143)/50</f>
        <v>34.72</v>
      </c>
      <c r="AU143" s="13">
        <v>0.3</v>
      </c>
    </row>
    <row r="144" spans="1:51" s="13" customFormat="1">
      <c r="A144" s="13" t="s">
        <v>80</v>
      </c>
      <c r="B144" s="26" t="s">
        <v>524</v>
      </c>
      <c r="C144" s="13" t="s">
        <v>166</v>
      </c>
      <c r="D144" s="27" t="s">
        <v>570</v>
      </c>
      <c r="E144" s="27" t="s">
        <v>403</v>
      </c>
      <c r="H144" s="13" t="s">
        <v>569</v>
      </c>
      <c r="J144" s="13" t="s">
        <v>74</v>
      </c>
      <c r="L144" s="27" t="s">
        <v>84</v>
      </c>
      <c r="P144" s="13" t="s">
        <v>568</v>
      </c>
      <c r="Q144" s="13" t="s">
        <v>525</v>
      </c>
      <c r="R144" s="7" t="s">
        <v>526</v>
      </c>
      <c r="T144" s="13">
        <v>0</v>
      </c>
      <c r="U144" s="13">
        <v>2.5</v>
      </c>
      <c r="X144" s="13" t="s">
        <v>223</v>
      </c>
      <c r="AE144" s="13" t="s">
        <v>571</v>
      </c>
      <c r="AF144" s="13" t="s">
        <v>571</v>
      </c>
      <c r="AH144" s="13">
        <v>1297</v>
      </c>
      <c r="AJ144" s="13">
        <v>1180</v>
      </c>
      <c r="AM144" s="13">
        <v>762</v>
      </c>
      <c r="AS144" s="13">
        <v>2</v>
      </c>
      <c r="AT144" s="13" t="s">
        <v>585</v>
      </c>
    </row>
    <row r="145" spans="1:51" s="13" customFormat="1">
      <c r="A145" s="13" t="s">
        <v>80</v>
      </c>
      <c r="B145" s="26" t="s">
        <v>572</v>
      </c>
      <c r="C145" s="13" t="s">
        <v>166</v>
      </c>
      <c r="D145" s="27" t="s">
        <v>570</v>
      </c>
      <c r="E145" s="27" t="s">
        <v>403</v>
      </c>
      <c r="H145" s="13" t="s">
        <v>569</v>
      </c>
      <c r="J145" s="13" t="s">
        <v>74</v>
      </c>
      <c r="L145" s="27" t="s">
        <v>84</v>
      </c>
      <c r="P145" s="13" t="s">
        <v>568</v>
      </c>
      <c r="Q145" s="13" t="s">
        <v>525</v>
      </c>
      <c r="R145" s="7" t="s">
        <v>526</v>
      </c>
      <c r="T145" s="13">
        <v>0</v>
      </c>
      <c r="U145" s="13">
        <v>2.5</v>
      </c>
      <c r="X145" s="13" t="s">
        <v>223</v>
      </c>
      <c r="AE145" s="13" t="s">
        <v>571</v>
      </c>
      <c r="AF145" s="13" t="s">
        <v>571</v>
      </c>
      <c r="AJ145" s="13">
        <v>625</v>
      </c>
      <c r="AM145" s="13">
        <v>339</v>
      </c>
      <c r="AS145" s="13">
        <v>0.3</v>
      </c>
    </row>
    <row r="146" spans="1:51" s="13" customFormat="1">
      <c r="A146" s="13" t="s">
        <v>80</v>
      </c>
      <c r="B146" s="26" t="s">
        <v>573</v>
      </c>
      <c r="C146" s="13" t="s">
        <v>166</v>
      </c>
      <c r="D146" s="27" t="s">
        <v>575</v>
      </c>
      <c r="E146" s="27"/>
      <c r="F146" s="13" t="s">
        <v>577</v>
      </c>
      <c r="H146" s="13" t="s">
        <v>569</v>
      </c>
      <c r="J146" s="13" t="s">
        <v>74</v>
      </c>
      <c r="L146" s="27" t="s">
        <v>576</v>
      </c>
      <c r="P146" s="13" t="s">
        <v>568</v>
      </c>
      <c r="Q146" s="26" t="s">
        <v>574</v>
      </c>
      <c r="R146" s="28" t="s">
        <v>439</v>
      </c>
      <c r="T146" s="13">
        <v>0.02</v>
      </c>
      <c r="U146" s="13">
        <v>1.2</v>
      </c>
      <c r="V146" s="13" t="s">
        <v>579</v>
      </c>
      <c r="AE146" s="13" t="s">
        <v>81</v>
      </c>
      <c r="AF146" s="13" t="s">
        <v>81</v>
      </c>
      <c r="AJ146" s="13">
        <v>425</v>
      </c>
      <c r="AM146" s="13">
        <v>282</v>
      </c>
      <c r="AS146" s="13" t="s">
        <v>578</v>
      </c>
      <c r="AT146" s="13">
        <v>0.1</v>
      </c>
      <c r="AU146" s="13">
        <v>0.3</v>
      </c>
      <c r="AX146"/>
      <c r="AY146"/>
    </row>
    <row r="147" spans="1:51" s="13" customFormat="1">
      <c r="A147" s="13">
        <v>30</v>
      </c>
      <c r="B147" s="26" t="s">
        <v>583</v>
      </c>
      <c r="C147" s="13" t="s">
        <v>166</v>
      </c>
      <c r="D147" s="27" t="s">
        <v>582</v>
      </c>
      <c r="E147" s="27" t="s">
        <v>403</v>
      </c>
      <c r="F147" s="13" t="s">
        <v>584</v>
      </c>
      <c r="H147" s="13" t="s">
        <v>569</v>
      </c>
      <c r="J147" s="13" t="s">
        <v>74</v>
      </c>
      <c r="L147" s="27" t="s">
        <v>128</v>
      </c>
      <c r="P147" s="13" t="s">
        <v>568</v>
      </c>
      <c r="Q147" s="26" t="s">
        <v>580</v>
      </c>
      <c r="R147" s="28" t="s">
        <v>581</v>
      </c>
      <c r="T147" s="13">
        <v>7.0000000000000007E-2</v>
      </c>
      <c r="U147" s="13">
        <v>2</v>
      </c>
      <c r="X147" s="13" t="s">
        <v>145</v>
      </c>
      <c r="AE147" s="13" t="s">
        <v>125</v>
      </c>
      <c r="AF147" s="13" t="s">
        <v>125</v>
      </c>
      <c r="AJ147" s="13">
        <v>391</v>
      </c>
      <c r="AM147" s="13">
        <v>307</v>
      </c>
      <c r="AN147" s="13">
        <v>258</v>
      </c>
      <c r="AQ147">
        <f>AN147/AJ147</f>
        <v>0.65984654731457804</v>
      </c>
      <c r="AR147">
        <f>(AJ147-AN147)/50</f>
        <v>2.66</v>
      </c>
      <c r="AS147" s="13">
        <v>0.1</v>
      </c>
      <c r="AT147" s="13">
        <v>0.15</v>
      </c>
      <c r="AU147" s="13">
        <v>0.75</v>
      </c>
      <c r="AX147">
        <f>AN147*(AT147+(AU147-AT147)/2)</f>
        <v>116.1</v>
      </c>
      <c r="AY147"/>
    </row>
    <row r="148" spans="1:51" s="13" customFormat="1">
      <c r="A148" s="13" t="s">
        <v>80</v>
      </c>
      <c r="B148" s="26" t="s">
        <v>587</v>
      </c>
      <c r="C148" s="13" t="s">
        <v>166</v>
      </c>
      <c r="D148" s="27" t="s">
        <v>594</v>
      </c>
      <c r="E148" s="27" t="s">
        <v>403</v>
      </c>
      <c r="F148" s="13" t="s">
        <v>588</v>
      </c>
      <c r="H148" s="13" t="s">
        <v>591</v>
      </c>
      <c r="J148" s="13" t="s">
        <v>74</v>
      </c>
      <c r="L148" s="27" t="s">
        <v>84</v>
      </c>
      <c r="P148" s="13" t="s">
        <v>568</v>
      </c>
      <c r="Q148" s="26" t="s">
        <v>220</v>
      </c>
      <c r="R148" s="28" t="s">
        <v>586</v>
      </c>
      <c r="T148" s="13">
        <v>0.01</v>
      </c>
      <c r="U148" s="13">
        <v>3</v>
      </c>
      <c r="V148" s="13">
        <v>10</v>
      </c>
      <c r="X148" s="13" t="s">
        <v>223</v>
      </c>
      <c r="AE148" s="13" t="s">
        <v>595</v>
      </c>
      <c r="AF148" s="13" t="s">
        <v>595</v>
      </c>
      <c r="AH148" s="13">
        <v>372</v>
      </c>
      <c r="AJ148" s="13">
        <v>355</v>
      </c>
      <c r="AM148" s="13">
        <v>314</v>
      </c>
      <c r="AS148" s="13">
        <v>0.3</v>
      </c>
      <c r="AT148" s="13">
        <v>0.3</v>
      </c>
      <c r="AU148" s="13">
        <v>0.4</v>
      </c>
    </row>
    <row r="149" spans="1:51" s="13" customFormat="1">
      <c r="A149" s="13" t="s">
        <v>80</v>
      </c>
      <c r="B149" s="26" t="s">
        <v>506</v>
      </c>
      <c r="C149" s="13" t="s">
        <v>166</v>
      </c>
      <c r="D149" s="27" t="s">
        <v>594</v>
      </c>
      <c r="E149" s="27" t="s">
        <v>403</v>
      </c>
      <c r="F149" s="13" t="s">
        <v>589</v>
      </c>
      <c r="H149" s="13" t="s">
        <v>590</v>
      </c>
      <c r="J149" s="13" t="s">
        <v>74</v>
      </c>
      <c r="L149" s="27" t="s">
        <v>84</v>
      </c>
      <c r="P149" s="13" t="s">
        <v>568</v>
      </c>
      <c r="Q149" s="26" t="s">
        <v>220</v>
      </c>
      <c r="R149" s="13" t="s">
        <v>586</v>
      </c>
      <c r="T149" s="13">
        <v>0.01</v>
      </c>
      <c r="U149" s="13">
        <v>3</v>
      </c>
      <c r="V149" s="13">
        <v>0.08</v>
      </c>
      <c r="X149" s="13" t="s">
        <v>223</v>
      </c>
      <c r="AE149" s="13" t="s">
        <v>595</v>
      </c>
      <c r="AF149" s="13" t="s">
        <v>595</v>
      </c>
      <c r="AH149" s="13">
        <v>4200</v>
      </c>
      <c r="AJ149" s="13">
        <v>3752</v>
      </c>
      <c r="AM149" s="13">
        <v>100</v>
      </c>
      <c r="AS149" s="13">
        <v>0.1</v>
      </c>
      <c r="AU149" s="13">
        <v>0.35</v>
      </c>
    </row>
    <row r="150" spans="1:51" s="13" customFormat="1">
      <c r="A150" s="13" t="s">
        <v>80</v>
      </c>
      <c r="B150" s="26" t="s">
        <v>592</v>
      </c>
      <c r="C150" s="13" t="s">
        <v>166</v>
      </c>
      <c r="D150" s="27" t="s">
        <v>594</v>
      </c>
      <c r="E150" s="27" t="s">
        <v>403</v>
      </c>
      <c r="F150" s="13" t="s">
        <v>596</v>
      </c>
      <c r="H150" s="13" t="s">
        <v>593</v>
      </c>
      <c r="J150" s="13" t="s">
        <v>74</v>
      </c>
      <c r="L150" s="27" t="s">
        <v>84</v>
      </c>
      <c r="P150" s="13" t="s">
        <v>568</v>
      </c>
      <c r="Q150" s="26" t="s">
        <v>220</v>
      </c>
      <c r="R150" s="7" t="s">
        <v>586</v>
      </c>
      <c r="T150" s="13">
        <v>0.01</v>
      </c>
      <c r="U150" s="13">
        <v>3</v>
      </c>
      <c r="X150" s="13" t="s">
        <v>223</v>
      </c>
      <c r="AE150" s="13" t="s">
        <v>595</v>
      </c>
      <c r="AF150" s="13" t="s">
        <v>595</v>
      </c>
      <c r="AJ150" s="13">
        <v>1175</v>
      </c>
      <c r="AM150" s="13">
        <v>702</v>
      </c>
      <c r="AS150" s="13">
        <v>0.2</v>
      </c>
      <c r="AT150" s="13">
        <v>0.2</v>
      </c>
      <c r="AU150" s="13" t="s">
        <v>597</v>
      </c>
    </row>
    <row r="151" spans="1:51" s="13" customFormat="1">
      <c r="A151" s="13" t="s">
        <v>80</v>
      </c>
      <c r="B151" s="26" t="s">
        <v>600</v>
      </c>
      <c r="C151" s="13" t="s">
        <v>166</v>
      </c>
      <c r="D151" s="27" t="s">
        <v>601</v>
      </c>
      <c r="E151" s="27" t="s">
        <v>403</v>
      </c>
      <c r="H151" s="13" t="s">
        <v>598</v>
      </c>
      <c r="J151" s="13" t="s">
        <v>74</v>
      </c>
      <c r="L151" s="27" t="s">
        <v>602</v>
      </c>
      <c r="P151" s="13" t="s">
        <v>568</v>
      </c>
      <c r="Q151" s="26" t="s">
        <v>599</v>
      </c>
      <c r="R151" s="28" t="s">
        <v>290</v>
      </c>
      <c r="T151" s="13">
        <v>0.1</v>
      </c>
      <c r="U151" s="13">
        <v>1.5</v>
      </c>
      <c r="Y151" s="13" t="s">
        <v>85</v>
      </c>
      <c r="AE151" s="13" t="s">
        <v>603</v>
      </c>
      <c r="AF151" s="13" t="s">
        <v>603</v>
      </c>
      <c r="AJ151" s="13">
        <v>716</v>
      </c>
      <c r="AM151" s="13">
        <v>975</v>
      </c>
      <c r="AP151" s="13" t="s">
        <v>178</v>
      </c>
      <c r="AS151" s="13">
        <v>0.16</v>
      </c>
      <c r="AT151" s="13">
        <v>0.2</v>
      </c>
      <c r="AU151" s="13" t="s">
        <v>604</v>
      </c>
    </row>
    <row r="152" spans="1:51" s="13" customFormat="1">
      <c r="A152" s="13" t="s">
        <v>80</v>
      </c>
      <c r="B152" s="26" t="s">
        <v>609</v>
      </c>
      <c r="C152" s="13" t="s">
        <v>166</v>
      </c>
      <c r="D152" s="27" t="s">
        <v>608</v>
      </c>
      <c r="E152" s="27" t="s">
        <v>403</v>
      </c>
      <c r="H152" s="13" t="s">
        <v>607</v>
      </c>
      <c r="J152" s="13" t="s">
        <v>74</v>
      </c>
      <c r="L152" s="27" t="s">
        <v>84</v>
      </c>
      <c r="P152" s="13" t="s">
        <v>568</v>
      </c>
      <c r="Q152" s="26" t="s">
        <v>605</v>
      </c>
      <c r="R152" s="7" t="s">
        <v>606</v>
      </c>
      <c r="T152" s="13">
        <v>0.02</v>
      </c>
      <c r="U152" s="13">
        <v>2</v>
      </c>
      <c r="V152" s="13" t="s">
        <v>610</v>
      </c>
      <c r="AC152" s="13">
        <v>0.1</v>
      </c>
      <c r="AD152" s="13">
        <v>0.1</v>
      </c>
      <c r="AJ152" s="13">
        <v>2015</v>
      </c>
      <c r="AM152" s="13">
        <v>1442</v>
      </c>
      <c r="AN152" s="13">
        <v>1431</v>
      </c>
      <c r="AQ152">
        <f>AN152/AJ152</f>
        <v>0.71017369727047142</v>
      </c>
      <c r="AR152">
        <f t="shared" ref="AR152:AR160" si="12">(AJ152-AN152)/50</f>
        <v>11.68</v>
      </c>
      <c r="AS152" s="13" t="s">
        <v>611</v>
      </c>
      <c r="AT152" s="13">
        <v>0.2</v>
      </c>
      <c r="AU152" s="13" t="s">
        <v>612</v>
      </c>
    </row>
    <row r="153" spans="1:51" s="13" customFormat="1">
      <c r="A153" s="13" t="s">
        <v>80</v>
      </c>
      <c r="B153" s="26" t="s">
        <v>615</v>
      </c>
      <c r="C153" s="13" t="s">
        <v>166</v>
      </c>
      <c r="D153" s="27" t="s">
        <v>616</v>
      </c>
      <c r="E153" s="27" t="s">
        <v>403</v>
      </c>
      <c r="F153" s="13" t="s">
        <v>617</v>
      </c>
      <c r="H153" s="13" t="s">
        <v>618</v>
      </c>
      <c r="J153" s="13" t="s">
        <v>74</v>
      </c>
      <c r="L153" s="27" t="s">
        <v>128</v>
      </c>
      <c r="P153" s="13" t="s">
        <v>568</v>
      </c>
      <c r="Q153" s="26" t="s">
        <v>613</v>
      </c>
      <c r="R153" s="7" t="s">
        <v>614</v>
      </c>
      <c r="T153" s="13">
        <v>0</v>
      </c>
      <c r="U153" s="13">
        <v>1.2</v>
      </c>
      <c r="AE153" s="13" t="s">
        <v>125</v>
      </c>
      <c r="AF153" s="13" t="s">
        <v>125</v>
      </c>
      <c r="AJ153" s="13">
        <v>650</v>
      </c>
      <c r="AM153" s="13">
        <v>530</v>
      </c>
      <c r="AN153" s="13">
        <v>523</v>
      </c>
      <c r="AP153" s="13" t="s">
        <v>316</v>
      </c>
      <c r="AQ153">
        <f>AN153/AJ153</f>
        <v>0.80461538461538462</v>
      </c>
      <c r="AR153">
        <f t="shared" si="12"/>
        <v>2.54</v>
      </c>
      <c r="AS153" s="13">
        <v>0.8</v>
      </c>
      <c r="AU153" s="13">
        <v>0.45</v>
      </c>
      <c r="AX153"/>
      <c r="AY153"/>
    </row>
    <row r="154" spans="1:51" s="13" customFormat="1">
      <c r="A154" s="13" t="s">
        <v>80</v>
      </c>
      <c r="B154" s="26" t="s">
        <v>621</v>
      </c>
      <c r="C154" s="13" t="s">
        <v>166</v>
      </c>
      <c r="D154" s="27" t="s">
        <v>622</v>
      </c>
      <c r="E154" s="27" t="s">
        <v>403</v>
      </c>
      <c r="H154" s="13" t="s">
        <v>623</v>
      </c>
      <c r="J154" s="13" t="s">
        <v>74</v>
      </c>
      <c r="L154" s="27" t="s">
        <v>128</v>
      </c>
      <c r="P154" s="13" t="s">
        <v>568</v>
      </c>
      <c r="Q154" s="26" t="s">
        <v>619</v>
      </c>
      <c r="R154" s="7" t="s">
        <v>620</v>
      </c>
      <c r="T154" s="13">
        <v>0</v>
      </c>
      <c r="U154" s="13">
        <v>2</v>
      </c>
      <c r="X154" s="13" t="s">
        <v>98</v>
      </c>
      <c r="Y154" s="13" t="s">
        <v>85</v>
      </c>
      <c r="AE154" s="13">
        <v>50</v>
      </c>
      <c r="AF154" s="13">
        <v>50</v>
      </c>
      <c r="AJ154" s="13">
        <v>830</v>
      </c>
      <c r="AM154" s="13">
        <v>625</v>
      </c>
      <c r="AN154" s="13">
        <v>609</v>
      </c>
      <c r="AP154" s="13" t="s">
        <v>544</v>
      </c>
      <c r="AQ154">
        <f>AN154/AJ154</f>
        <v>0.73373493975903614</v>
      </c>
      <c r="AR154">
        <f t="shared" si="12"/>
        <v>4.42</v>
      </c>
      <c r="AS154" s="13">
        <v>0.1</v>
      </c>
      <c r="AT154" s="13" t="s">
        <v>624</v>
      </c>
      <c r="AU154" s="13">
        <v>0.4</v>
      </c>
    </row>
    <row r="155" spans="1:51" s="13" customFormat="1">
      <c r="A155" s="13" t="s">
        <v>80</v>
      </c>
      <c r="B155" s="26" t="s">
        <v>627</v>
      </c>
      <c r="C155" s="13" t="s">
        <v>166</v>
      </c>
      <c r="D155" s="27" t="s">
        <v>236</v>
      </c>
      <c r="E155" s="27" t="s">
        <v>632</v>
      </c>
      <c r="F155" s="13" t="s">
        <v>630</v>
      </c>
      <c r="H155" s="13" t="s">
        <v>628</v>
      </c>
      <c r="J155" s="13" t="s">
        <v>74</v>
      </c>
      <c r="L155" s="27" t="s">
        <v>84</v>
      </c>
      <c r="P155" s="13" t="s">
        <v>568</v>
      </c>
      <c r="Q155" s="26" t="s">
        <v>625</v>
      </c>
      <c r="R155" s="7" t="s">
        <v>626</v>
      </c>
      <c r="T155" s="13">
        <v>0</v>
      </c>
      <c r="U155" s="13">
        <v>2</v>
      </c>
      <c r="AE155" s="13" t="s">
        <v>629</v>
      </c>
      <c r="AF155" s="13" t="s">
        <v>629</v>
      </c>
      <c r="AH155" s="13">
        <v>994</v>
      </c>
      <c r="AJ155" s="13">
        <v>928</v>
      </c>
      <c r="AM155" s="13">
        <v>822</v>
      </c>
      <c r="AP155" s="13" t="s">
        <v>631</v>
      </c>
      <c r="AS155" s="13">
        <v>0.1</v>
      </c>
      <c r="AU155" s="13">
        <v>0.5</v>
      </c>
    </row>
    <row r="156" spans="1:51" s="13" customFormat="1">
      <c r="A156" s="13" t="s">
        <v>80</v>
      </c>
      <c r="B156" s="26" t="s">
        <v>635</v>
      </c>
      <c r="C156" s="13" t="s">
        <v>166</v>
      </c>
      <c r="D156" s="27" t="s">
        <v>638</v>
      </c>
      <c r="E156" s="27" t="s">
        <v>403</v>
      </c>
      <c r="H156" s="13" t="s">
        <v>637</v>
      </c>
      <c r="J156" s="13" t="s">
        <v>74</v>
      </c>
      <c r="L156" s="27" t="s">
        <v>639</v>
      </c>
      <c r="P156" s="13" t="s">
        <v>568</v>
      </c>
      <c r="Q156" s="26" t="s">
        <v>633</v>
      </c>
      <c r="R156" s="28" t="s">
        <v>634</v>
      </c>
      <c r="T156" s="13">
        <v>0.2</v>
      </c>
      <c r="U156" s="13">
        <v>1.3</v>
      </c>
      <c r="X156" s="13" t="s">
        <v>640</v>
      </c>
      <c r="AC156" s="13">
        <v>0.5</v>
      </c>
      <c r="AD156" s="13">
        <v>0.5</v>
      </c>
      <c r="AE156" s="13" t="s">
        <v>644</v>
      </c>
      <c r="AF156" s="13" t="s">
        <v>644</v>
      </c>
      <c r="AH156" s="13">
        <v>711</v>
      </c>
      <c r="AJ156" s="13">
        <v>491</v>
      </c>
      <c r="AM156" s="13">
        <v>166</v>
      </c>
      <c r="AN156" s="13">
        <v>90</v>
      </c>
      <c r="AQ156">
        <f>AN156/AJ156</f>
        <v>0.18329938900203666</v>
      </c>
      <c r="AR156">
        <f t="shared" si="12"/>
        <v>8.02</v>
      </c>
      <c r="AS156" s="13" t="s">
        <v>641</v>
      </c>
      <c r="AU156" s="13">
        <v>0.6</v>
      </c>
    </row>
    <row r="157" spans="1:51" s="13" customFormat="1">
      <c r="A157" s="13" t="s">
        <v>80</v>
      </c>
      <c r="B157" s="26" t="s">
        <v>636</v>
      </c>
      <c r="C157" s="13" t="s">
        <v>166</v>
      </c>
      <c r="D157" s="27" t="s">
        <v>638</v>
      </c>
      <c r="E157" s="27" t="s">
        <v>403</v>
      </c>
      <c r="H157" s="13" t="s">
        <v>73</v>
      </c>
      <c r="J157" s="13" t="s">
        <v>74</v>
      </c>
      <c r="L157" s="27" t="s">
        <v>639</v>
      </c>
      <c r="P157" s="13" t="s">
        <v>374</v>
      </c>
      <c r="Q157" s="26" t="s">
        <v>633</v>
      </c>
      <c r="R157" s="28" t="s">
        <v>634</v>
      </c>
      <c r="T157" s="13">
        <v>0.2</v>
      </c>
      <c r="U157" s="13">
        <v>1.3</v>
      </c>
      <c r="X157" s="13" t="s">
        <v>640</v>
      </c>
      <c r="AC157" s="13">
        <v>0.04</v>
      </c>
      <c r="AD157" s="13">
        <v>0.04</v>
      </c>
      <c r="AE157" s="13" t="s">
        <v>643</v>
      </c>
      <c r="AF157" s="13" t="s">
        <v>643</v>
      </c>
      <c r="AH157" s="13">
        <v>915</v>
      </c>
      <c r="AJ157" s="13">
        <v>419</v>
      </c>
      <c r="AM157" s="13">
        <v>276</v>
      </c>
      <c r="AP157" s="13" t="s">
        <v>178</v>
      </c>
      <c r="AS157" s="13">
        <v>0.3</v>
      </c>
      <c r="AT157" s="13" t="s">
        <v>642</v>
      </c>
      <c r="AU157" s="13">
        <v>0.6</v>
      </c>
    </row>
    <row r="158" spans="1:51" s="13" customFormat="1">
      <c r="A158" s="13" t="s">
        <v>80</v>
      </c>
      <c r="B158" s="26" t="s">
        <v>635</v>
      </c>
      <c r="C158" s="13" t="s">
        <v>166</v>
      </c>
      <c r="D158" s="27" t="s">
        <v>649</v>
      </c>
      <c r="E158" s="27" t="s">
        <v>403</v>
      </c>
      <c r="H158" s="13" t="s">
        <v>647</v>
      </c>
      <c r="J158" s="13" t="s">
        <v>74</v>
      </c>
      <c r="L158" s="27" t="s">
        <v>84</v>
      </c>
      <c r="P158" s="13" t="s">
        <v>108</v>
      </c>
      <c r="Q158" s="26" t="s">
        <v>645</v>
      </c>
      <c r="R158" s="28" t="s">
        <v>646</v>
      </c>
      <c r="T158" s="13">
        <v>0</v>
      </c>
      <c r="U158" s="13">
        <v>1</v>
      </c>
      <c r="Z158" s="13" t="s">
        <v>653</v>
      </c>
      <c r="AA158" s="5" t="s">
        <v>652</v>
      </c>
      <c r="AB158" s="5"/>
      <c r="AE158" s="13" t="s">
        <v>650</v>
      </c>
      <c r="AF158" s="13" t="s">
        <v>650</v>
      </c>
      <c r="AG158" s="13" t="s">
        <v>108</v>
      </c>
      <c r="AJ158" s="13">
        <v>565</v>
      </c>
      <c r="AM158" s="13">
        <v>453</v>
      </c>
      <c r="AN158" s="13">
        <v>334</v>
      </c>
      <c r="AQ158">
        <f>AN158/AJ158</f>
        <v>0.59115044247787607</v>
      </c>
      <c r="AR158">
        <f t="shared" si="12"/>
        <v>4.62</v>
      </c>
      <c r="AS158" s="13">
        <v>0.25</v>
      </c>
      <c r="AT158" s="13">
        <v>0.3</v>
      </c>
      <c r="AU158" s="13">
        <v>0.5</v>
      </c>
    </row>
    <row r="159" spans="1:51" s="13" customFormat="1">
      <c r="A159" s="13" t="s">
        <v>80</v>
      </c>
      <c r="B159" s="26" t="s">
        <v>656</v>
      </c>
      <c r="C159" s="13" t="s">
        <v>166</v>
      </c>
      <c r="D159" s="27" t="s">
        <v>649</v>
      </c>
      <c r="E159" s="27" t="s">
        <v>403</v>
      </c>
      <c r="H159" s="13" t="s">
        <v>648</v>
      </c>
      <c r="J159" s="13" t="s">
        <v>74</v>
      </c>
      <c r="L159" s="27" t="s">
        <v>84</v>
      </c>
      <c r="P159" s="13" t="s">
        <v>108</v>
      </c>
      <c r="Q159" s="26" t="s">
        <v>645</v>
      </c>
      <c r="R159" s="28" t="s">
        <v>646</v>
      </c>
      <c r="T159" s="13">
        <v>0</v>
      </c>
      <c r="U159" s="13">
        <v>1</v>
      </c>
      <c r="Z159" s="13" t="s">
        <v>654</v>
      </c>
      <c r="AA159" s="5" t="s">
        <v>652</v>
      </c>
      <c r="AB159" s="5"/>
      <c r="AE159" s="13" t="s">
        <v>650</v>
      </c>
      <c r="AF159" s="13" t="s">
        <v>650</v>
      </c>
      <c r="AG159" s="13" t="s">
        <v>108</v>
      </c>
      <c r="AJ159" s="13">
        <v>509</v>
      </c>
      <c r="AM159" s="13">
        <v>472</v>
      </c>
      <c r="AN159" s="13">
        <v>432</v>
      </c>
      <c r="AQ159">
        <f>AN159/AJ159</f>
        <v>0.84872298624754416</v>
      </c>
      <c r="AR159">
        <f t="shared" si="12"/>
        <v>1.54</v>
      </c>
      <c r="AS159" s="13" t="s">
        <v>658</v>
      </c>
      <c r="AT159" s="13">
        <v>0.23</v>
      </c>
      <c r="AU159" s="13">
        <v>0.5</v>
      </c>
    </row>
    <row r="160" spans="1:51" s="13" customFormat="1">
      <c r="A160" s="13" t="s">
        <v>80</v>
      </c>
      <c r="B160" s="26" t="s">
        <v>657</v>
      </c>
      <c r="C160" s="13" t="s">
        <v>166</v>
      </c>
      <c r="D160" s="27" t="s">
        <v>649</v>
      </c>
      <c r="E160" s="27" t="s">
        <v>403</v>
      </c>
      <c r="H160" s="13" t="s">
        <v>648</v>
      </c>
      <c r="J160" s="13" t="s">
        <v>74</v>
      </c>
      <c r="L160" s="27" t="s">
        <v>84</v>
      </c>
      <c r="P160" s="13" t="s">
        <v>108</v>
      </c>
      <c r="Q160" s="26" t="s">
        <v>645</v>
      </c>
      <c r="R160" s="28" t="s">
        <v>646</v>
      </c>
      <c r="T160" s="13">
        <v>0</v>
      </c>
      <c r="U160" s="13">
        <v>1</v>
      </c>
      <c r="Z160" s="13" t="s">
        <v>655</v>
      </c>
      <c r="AA160" s="5" t="s">
        <v>652</v>
      </c>
      <c r="AB160" s="5"/>
      <c r="AE160" s="13" t="s">
        <v>650</v>
      </c>
      <c r="AF160" s="13" t="s">
        <v>650</v>
      </c>
      <c r="AG160" s="13" t="s">
        <v>108</v>
      </c>
      <c r="AJ160" s="13">
        <v>250</v>
      </c>
      <c r="AM160" s="13">
        <v>80</v>
      </c>
      <c r="AN160" s="13">
        <v>65</v>
      </c>
      <c r="AQ160">
        <f>AN160/AJ160</f>
        <v>0.26</v>
      </c>
      <c r="AR160">
        <f t="shared" si="12"/>
        <v>3.7</v>
      </c>
      <c r="AS160" s="13">
        <v>0.05</v>
      </c>
      <c r="AT160" s="13">
        <v>0.04</v>
      </c>
      <c r="AU160" s="13">
        <v>0.6</v>
      </c>
    </row>
    <row r="161" spans="1:48" s="13" customFormat="1">
      <c r="A161" s="13" t="s">
        <v>80</v>
      </c>
      <c r="B161" s="26" t="s">
        <v>661</v>
      </c>
      <c r="C161" s="13" t="s">
        <v>166</v>
      </c>
      <c r="D161" s="27" t="s">
        <v>663</v>
      </c>
      <c r="E161" s="27" t="s">
        <v>403</v>
      </c>
      <c r="H161" s="13" t="s">
        <v>73</v>
      </c>
      <c r="J161" s="13" t="s">
        <v>74</v>
      </c>
      <c r="L161" s="27" t="s">
        <v>128</v>
      </c>
      <c r="P161" s="6" t="s">
        <v>667</v>
      </c>
      <c r="Q161" s="26" t="s">
        <v>659</v>
      </c>
      <c r="R161" s="28" t="s">
        <v>660</v>
      </c>
      <c r="T161" s="13">
        <v>0.2</v>
      </c>
      <c r="U161" s="13">
        <v>1.2</v>
      </c>
      <c r="V161" s="13" t="s">
        <v>665</v>
      </c>
      <c r="X161" s="13" t="s">
        <v>662</v>
      </c>
      <c r="AA161" s="34" t="s">
        <v>157</v>
      </c>
      <c r="AB161" s="34"/>
      <c r="AE161" s="13" t="s">
        <v>664</v>
      </c>
      <c r="AF161" s="13" t="s">
        <v>664</v>
      </c>
      <c r="AH161" s="13">
        <v>358</v>
      </c>
      <c r="AJ161" s="13">
        <v>210</v>
      </c>
      <c r="AM161" s="13">
        <v>172</v>
      </c>
      <c r="AS161" s="13">
        <v>0.4</v>
      </c>
      <c r="AU161" s="13" t="s">
        <v>666</v>
      </c>
    </row>
    <row r="162" spans="1:48" s="13" customFormat="1">
      <c r="A162" s="13">
        <v>30</v>
      </c>
      <c r="B162" s="26" t="s">
        <v>671</v>
      </c>
      <c r="C162" s="13" t="s">
        <v>166</v>
      </c>
      <c r="D162" s="27" t="s">
        <v>638</v>
      </c>
      <c r="E162" s="27" t="s">
        <v>403</v>
      </c>
      <c r="H162" s="13" t="s">
        <v>675</v>
      </c>
      <c r="J162" s="13" t="s">
        <v>74</v>
      </c>
      <c r="L162" s="27" t="s">
        <v>668</v>
      </c>
      <c r="Q162" s="26" t="s">
        <v>669</v>
      </c>
      <c r="R162" s="28" t="s">
        <v>670</v>
      </c>
      <c r="T162" s="13">
        <v>0</v>
      </c>
      <c r="U162" s="13">
        <v>1.3</v>
      </c>
      <c r="X162" s="13" t="s">
        <v>386</v>
      </c>
      <c r="Y162" s="13" t="s">
        <v>371</v>
      </c>
      <c r="Z162" s="13" t="s">
        <v>677</v>
      </c>
      <c r="AA162" s="34" t="s">
        <v>676</v>
      </c>
      <c r="AB162" s="34"/>
      <c r="AC162" s="13">
        <v>0.05</v>
      </c>
      <c r="AD162" s="13">
        <v>0.05</v>
      </c>
      <c r="AE162" s="13">
        <v>37.200000000000003</v>
      </c>
      <c r="AF162" s="13">
        <v>37.200000000000003</v>
      </c>
      <c r="AH162" s="13">
        <v>807</v>
      </c>
      <c r="AJ162" s="13">
        <v>665</v>
      </c>
      <c r="AM162" s="13">
        <v>55</v>
      </c>
      <c r="AP162" s="13" t="s">
        <v>178</v>
      </c>
      <c r="AS162" s="13">
        <v>0.27</v>
      </c>
      <c r="AT162" s="13">
        <v>0.37</v>
      </c>
      <c r="AU162" s="13" t="s">
        <v>681</v>
      </c>
    </row>
    <row r="163" spans="1:48" s="13" customFormat="1">
      <c r="A163" s="13">
        <v>30</v>
      </c>
      <c r="B163" s="26" t="s">
        <v>672</v>
      </c>
      <c r="C163" s="13" t="s">
        <v>166</v>
      </c>
      <c r="D163" s="27" t="s">
        <v>638</v>
      </c>
      <c r="E163" s="27" t="s">
        <v>403</v>
      </c>
      <c r="H163" s="13" t="s">
        <v>569</v>
      </c>
      <c r="J163" s="13" t="s">
        <v>74</v>
      </c>
      <c r="L163" s="27" t="s">
        <v>668</v>
      </c>
      <c r="Q163" s="26" t="s">
        <v>669</v>
      </c>
      <c r="R163" s="28" t="s">
        <v>670</v>
      </c>
      <c r="T163" s="13">
        <v>0</v>
      </c>
      <c r="U163" s="13">
        <v>1.3</v>
      </c>
      <c r="X163" s="13" t="s">
        <v>386</v>
      </c>
      <c r="Y163" s="13" t="s">
        <v>371</v>
      </c>
      <c r="Z163" s="13" t="s">
        <v>678</v>
      </c>
      <c r="AA163" s="34" t="s">
        <v>157</v>
      </c>
      <c r="AB163" s="34"/>
      <c r="AC163" s="13">
        <v>7.0000000000000007E-2</v>
      </c>
      <c r="AD163" s="13">
        <v>7.0000000000000007E-2</v>
      </c>
      <c r="AE163" s="13">
        <v>37.200000000000003</v>
      </c>
      <c r="AF163" s="13">
        <v>37.200000000000003</v>
      </c>
      <c r="AH163" s="13">
        <v>545</v>
      </c>
      <c r="AJ163" s="13">
        <v>160</v>
      </c>
      <c r="AM163" s="13">
        <v>155</v>
      </c>
      <c r="AN163" s="13">
        <v>171</v>
      </c>
      <c r="AP163" s="13" t="s">
        <v>316</v>
      </c>
      <c r="AQ163">
        <f t="shared" ref="AQ163:AQ173" si="13">AN163/AJ163</f>
        <v>1.0687500000000001</v>
      </c>
      <c r="AR163">
        <f t="shared" ref="AR163:AR173" si="14">(AJ163-AN163)/50</f>
        <v>-0.22</v>
      </c>
      <c r="AS163" s="13">
        <v>0.03</v>
      </c>
      <c r="AT163" s="13">
        <v>0.42</v>
      </c>
      <c r="AU163" s="13">
        <v>0.65</v>
      </c>
    </row>
    <row r="164" spans="1:48" s="13" customFormat="1">
      <c r="A164" s="13">
        <v>30</v>
      </c>
      <c r="B164" s="26" t="s">
        <v>674</v>
      </c>
      <c r="C164" s="13" t="s">
        <v>166</v>
      </c>
      <c r="D164" s="27" t="s">
        <v>638</v>
      </c>
      <c r="E164" s="27" t="s">
        <v>403</v>
      </c>
      <c r="H164" s="13" t="s">
        <v>569</v>
      </c>
      <c r="J164" s="13" t="s">
        <v>74</v>
      </c>
      <c r="L164" s="27" t="s">
        <v>668</v>
      </c>
      <c r="Q164" s="26" t="s">
        <v>669</v>
      </c>
      <c r="R164" s="28" t="s">
        <v>670</v>
      </c>
      <c r="T164" s="13">
        <v>0</v>
      </c>
      <c r="U164" s="13">
        <v>1.3</v>
      </c>
      <c r="X164" s="13" t="s">
        <v>386</v>
      </c>
      <c r="Y164" s="13" t="s">
        <v>371</v>
      </c>
      <c r="AC164" s="13">
        <v>0.09</v>
      </c>
      <c r="AD164" s="13">
        <v>0.09</v>
      </c>
      <c r="AE164" s="13">
        <v>37.200000000000003</v>
      </c>
      <c r="AF164" s="13">
        <v>37.200000000000003</v>
      </c>
      <c r="AH164" s="13">
        <v>416</v>
      </c>
      <c r="AJ164" s="13">
        <v>44</v>
      </c>
      <c r="AM164" s="13">
        <v>55</v>
      </c>
      <c r="AN164" s="13">
        <v>70</v>
      </c>
      <c r="AQ164">
        <f t="shared" si="13"/>
        <v>1.5909090909090908</v>
      </c>
      <c r="AR164">
        <f t="shared" si="14"/>
        <v>-0.52</v>
      </c>
      <c r="AS164" s="13">
        <v>0.2</v>
      </c>
      <c r="AU164" s="13">
        <v>0.7</v>
      </c>
    </row>
    <row r="165" spans="1:48" s="13" customFormat="1">
      <c r="A165" s="13">
        <v>30</v>
      </c>
      <c r="B165" s="26" t="s">
        <v>673</v>
      </c>
      <c r="C165" s="13" t="s">
        <v>166</v>
      </c>
      <c r="D165" s="27" t="s">
        <v>638</v>
      </c>
      <c r="E165" s="27" t="s">
        <v>403</v>
      </c>
      <c r="H165" s="13" t="s">
        <v>569</v>
      </c>
      <c r="J165" s="13" t="s">
        <v>74</v>
      </c>
      <c r="L165" s="27" t="s">
        <v>668</v>
      </c>
      <c r="Q165" s="26" t="s">
        <v>669</v>
      </c>
      <c r="R165" s="28" t="s">
        <v>670</v>
      </c>
      <c r="T165" s="13">
        <v>0</v>
      </c>
      <c r="U165" s="13">
        <v>1.3</v>
      </c>
      <c r="X165" s="13" t="s">
        <v>386</v>
      </c>
      <c r="Y165" s="13" t="s">
        <v>371</v>
      </c>
      <c r="Z165" s="13" t="s">
        <v>680</v>
      </c>
      <c r="AA165" s="34" t="s">
        <v>679</v>
      </c>
      <c r="AB165" s="34"/>
      <c r="AE165" s="13">
        <v>37.200000000000003</v>
      </c>
      <c r="AF165" s="13">
        <v>37.200000000000003</v>
      </c>
      <c r="AJ165" s="13">
        <v>164</v>
      </c>
      <c r="AM165" s="13">
        <v>131</v>
      </c>
      <c r="AN165" s="13">
        <v>130</v>
      </c>
      <c r="AO165" s="13">
        <v>130</v>
      </c>
      <c r="AQ165">
        <f t="shared" si="13"/>
        <v>0.79268292682926833</v>
      </c>
      <c r="AR165">
        <f t="shared" si="14"/>
        <v>0.68</v>
      </c>
      <c r="AS165" s="13" t="s">
        <v>682</v>
      </c>
      <c r="AT165" s="13">
        <v>0.27</v>
      </c>
      <c r="AU165" s="13">
        <v>0.5</v>
      </c>
    </row>
    <row r="166" spans="1:48" s="13" customFormat="1">
      <c r="A166" s="13" t="s">
        <v>80</v>
      </c>
      <c r="B166" s="26" t="s">
        <v>685</v>
      </c>
      <c r="C166" s="13" t="s">
        <v>166</v>
      </c>
      <c r="D166" s="27" t="s">
        <v>689</v>
      </c>
      <c r="E166" s="27" t="s">
        <v>403</v>
      </c>
      <c r="F166" s="13" t="s">
        <v>696</v>
      </c>
      <c r="H166" s="13" t="s">
        <v>695</v>
      </c>
      <c r="J166" s="13" t="s">
        <v>74</v>
      </c>
      <c r="L166" s="27" t="s">
        <v>370</v>
      </c>
      <c r="P166" s="13" t="s">
        <v>568</v>
      </c>
      <c r="Q166" s="26" t="s">
        <v>683</v>
      </c>
      <c r="R166" s="28" t="s">
        <v>684</v>
      </c>
      <c r="T166" s="13">
        <v>0</v>
      </c>
      <c r="U166" s="13">
        <v>2</v>
      </c>
      <c r="V166" s="13">
        <v>1</v>
      </c>
      <c r="X166" s="13" t="s">
        <v>223</v>
      </c>
      <c r="Z166" s="13" t="s">
        <v>692</v>
      </c>
      <c r="AA166" s="34" t="s">
        <v>690</v>
      </c>
      <c r="AB166" s="34"/>
      <c r="AC166" s="13">
        <v>0.09</v>
      </c>
      <c r="AD166" s="13">
        <v>0.09</v>
      </c>
      <c r="AE166" s="13" t="s">
        <v>688</v>
      </c>
      <c r="AF166" s="13" t="s">
        <v>688</v>
      </c>
      <c r="AH166" s="13">
        <v>569</v>
      </c>
      <c r="AJ166" s="13">
        <v>433</v>
      </c>
      <c r="AM166" s="13">
        <v>202</v>
      </c>
      <c r="AN166" s="13">
        <v>140</v>
      </c>
      <c r="AQ166">
        <f t="shared" si="13"/>
        <v>0.32332563510392609</v>
      </c>
      <c r="AR166">
        <f t="shared" si="14"/>
        <v>5.86</v>
      </c>
      <c r="AS166" s="13">
        <v>0.14000000000000001</v>
      </c>
      <c r="AT166" s="13">
        <v>0.2</v>
      </c>
      <c r="AU166" s="13">
        <v>0.5</v>
      </c>
    </row>
    <row r="167" spans="1:48" s="13" customFormat="1">
      <c r="A167" s="13" t="s">
        <v>80</v>
      </c>
      <c r="B167" s="26" t="s">
        <v>686</v>
      </c>
      <c r="C167" s="13" t="s">
        <v>166</v>
      </c>
      <c r="D167" s="27" t="s">
        <v>689</v>
      </c>
      <c r="E167" s="27" t="s">
        <v>403</v>
      </c>
      <c r="F167" s="13" t="s">
        <v>697</v>
      </c>
      <c r="H167" s="13" t="s">
        <v>695</v>
      </c>
      <c r="J167" s="13" t="s">
        <v>74</v>
      </c>
      <c r="L167" s="27" t="s">
        <v>370</v>
      </c>
      <c r="P167" s="13" t="s">
        <v>568</v>
      </c>
      <c r="Q167" s="26" t="s">
        <v>683</v>
      </c>
      <c r="R167" s="28" t="s">
        <v>684</v>
      </c>
      <c r="T167" s="13">
        <v>0</v>
      </c>
      <c r="U167" s="13">
        <v>2</v>
      </c>
      <c r="V167" s="13">
        <v>1</v>
      </c>
      <c r="X167" s="13" t="s">
        <v>223</v>
      </c>
      <c r="Z167" s="13" t="s">
        <v>693</v>
      </c>
      <c r="AA167" s="34" t="s">
        <v>691</v>
      </c>
      <c r="AB167" s="34"/>
      <c r="AC167" s="13">
        <v>7.4999999999999997E-2</v>
      </c>
      <c r="AD167" s="13">
        <v>7.4999999999999997E-2</v>
      </c>
      <c r="AE167" s="13" t="s">
        <v>688</v>
      </c>
      <c r="AF167" s="13" t="s">
        <v>688</v>
      </c>
      <c r="AH167" s="13">
        <v>664</v>
      </c>
      <c r="AJ167" s="13">
        <v>656</v>
      </c>
      <c r="AM167" s="13">
        <v>388</v>
      </c>
      <c r="AN167" s="13">
        <v>91</v>
      </c>
      <c r="AQ167">
        <f t="shared" si="13"/>
        <v>0.13871951219512196</v>
      </c>
      <c r="AR167">
        <f t="shared" si="14"/>
        <v>11.3</v>
      </c>
      <c r="AS167" s="13">
        <v>0.35</v>
      </c>
      <c r="AT167" s="13">
        <v>0.35</v>
      </c>
      <c r="AU167" s="13" t="s">
        <v>699</v>
      </c>
    </row>
    <row r="168" spans="1:48" s="13" customFormat="1">
      <c r="A168" s="13" t="s">
        <v>80</v>
      </c>
      <c r="B168" s="26" t="s">
        <v>687</v>
      </c>
      <c r="C168" s="13" t="s">
        <v>166</v>
      </c>
      <c r="D168" s="27" t="s">
        <v>689</v>
      </c>
      <c r="E168" s="27" t="s">
        <v>403</v>
      </c>
      <c r="F168" s="13" t="s">
        <v>698</v>
      </c>
      <c r="H168" s="13" t="s">
        <v>695</v>
      </c>
      <c r="J168" s="13" t="s">
        <v>74</v>
      </c>
      <c r="L168" s="27" t="s">
        <v>370</v>
      </c>
      <c r="P168" s="13" t="s">
        <v>568</v>
      </c>
      <c r="Q168" s="26" t="s">
        <v>683</v>
      </c>
      <c r="R168" s="28" t="s">
        <v>684</v>
      </c>
      <c r="T168" s="13">
        <v>0</v>
      </c>
      <c r="U168" s="13">
        <v>2</v>
      </c>
      <c r="V168" s="13">
        <v>1</v>
      </c>
      <c r="X168" s="13" t="s">
        <v>223</v>
      </c>
      <c r="Z168" s="13" t="s">
        <v>694</v>
      </c>
      <c r="AA168" s="34" t="s">
        <v>676</v>
      </c>
      <c r="AB168" s="34"/>
      <c r="AC168" s="13">
        <v>0.06</v>
      </c>
      <c r="AD168" s="13">
        <v>0.06</v>
      </c>
      <c r="AE168" s="13" t="s">
        <v>688</v>
      </c>
      <c r="AF168" s="13" t="s">
        <v>688</v>
      </c>
      <c r="AH168" s="13">
        <v>796</v>
      </c>
      <c r="AJ168" s="13">
        <v>846</v>
      </c>
      <c r="AM168" s="13">
        <v>362</v>
      </c>
      <c r="AN168" s="13">
        <v>99</v>
      </c>
      <c r="AQ168">
        <f t="shared" si="13"/>
        <v>0.11702127659574468</v>
      </c>
      <c r="AR168">
        <f t="shared" si="14"/>
        <v>14.94</v>
      </c>
      <c r="AS168" s="13">
        <v>0.2</v>
      </c>
      <c r="AT168" s="13">
        <v>0.35</v>
      </c>
      <c r="AU168" s="13" t="s">
        <v>699</v>
      </c>
    </row>
    <row r="169" spans="1:48" s="13" customFormat="1">
      <c r="A169" s="13" t="s">
        <v>80</v>
      </c>
      <c r="B169" s="26" t="s">
        <v>700</v>
      </c>
      <c r="C169" s="13" t="s">
        <v>166</v>
      </c>
      <c r="D169" s="27" t="s">
        <v>582</v>
      </c>
      <c r="E169" s="27" t="s">
        <v>403</v>
      </c>
      <c r="F169" s="13" t="s">
        <v>705</v>
      </c>
      <c r="H169" s="13" t="s">
        <v>281</v>
      </c>
      <c r="J169" s="13" t="s">
        <v>74</v>
      </c>
      <c r="L169" s="27" t="s">
        <v>128</v>
      </c>
      <c r="P169" s="13" t="s">
        <v>707</v>
      </c>
      <c r="Q169" s="26" t="s">
        <v>701</v>
      </c>
      <c r="R169" s="7" t="s">
        <v>702</v>
      </c>
      <c r="T169" s="13">
        <v>0</v>
      </c>
      <c r="U169" s="13">
        <v>0.8</v>
      </c>
      <c r="V169" s="13">
        <v>3.1E-2</v>
      </c>
      <c r="X169" s="13" t="s">
        <v>704</v>
      </c>
      <c r="Y169" s="13" t="s">
        <v>85</v>
      </c>
      <c r="AC169" s="13">
        <v>0.04</v>
      </c>
      <c r="AD169" s="13">
        <v>0.04</v>
      </c>
      <c r="AE169" s="13" t="s">
        <v>706</v>
      </c>
      <c r="AF169" s="13" t="s">
        <v>706</v>
      </c>
      <c r="AH169" s="13" t="s">
        <v>709</v>
      </c>
      <c r="AJ169" s="13">
        <v>461</v>
      </c>
      <c r="AM169" s="13">
        <v>396</v>
      </c>
      <c r="AN169" s="13">
        <v>330</v>
      </c>
      <c r="AQ169" s="13">
        <f t="shared" si="13"/>
        <v>0.71583514099783085</v>
      </c>
      <c r="AR169" s="13">
        <f t="shared" si="14"/>
        <v>2.62</v>
      </c>
      <c r="AS169" s="13" t="s">
        <v>708</v>
      </c>
      <c r="AT169" s="13">
        <v>0.36</v>
      </c>
      <c r="AU169" s="13">
        <v>0.6</v>
      </c>
      <c r="AV169" s="13" t="s">
        <v>710</v>
      </c>
    </row>
    <row r="170" spans="1:48" s="13" customFormat="1">
      <c r="A170" s="13">
        <v>30</v>
      </c>
      <c r="B170" s="26" t="s">
        <v>711</v>
      </c>
      <c r="C170" s="13" t="s">
        <v>166</v>
      </c>
      <c r="D170" s="27" t="s">
        <v>638</v>
      </c>
      <c r="E170" s="27" t="s">
        <v>403</v>
      </c>
      <c r="H170" s="13" t="s">
        <v>281</v>
      </c>
      <c r="J170" s="13" t="s">
        <v>74</v>
      </c>
      <c r="L170" s="27" t="s">
        <v>639</v>
      </c>
      <c r="P170" s="13" t="s">
        <v>568</v>
      </c>
      <c r="Q170" s="13" t="s">
        <v>727</v>
      </c>
      <c r="R170" s="28" t="s">
        <v>715</v>
      </c>
      <c r="T170" s="13">
        <v>0</v>
      </c>
      <c r="U170" s="13">
        <v>1.3</v>
      </c>
      <c r="W170" s="13">
        <v>2.1</v>
      </c>
      <c r="X170" s="13" t="s">
        <v>386</v>
      </c>
      <c r="Y170" s="13" t="s">
        <v>371</v>
      </c>
      <c r="Z170" s="13" t="s">
        <v>721</v>
      </c>
      <c r="AC170" s="13">
        <v>0.05</v>
      </c>
      <c r="AD170" s="13">
        <v>0.05</v>
      </c>
      <c r="AE170" s="13" t="s">
        <v>716</v>
      </c>
      <c r="AF170" s="13" t="s">
        <v>716</v>
      </c>
      <c r="AH170" s="13">
        <v>802</v>
      </c>
      <c r="AJ170" s="13">
        <v>732</v>
      </c>
      <c r="AM170" s="13">
        <v>139</v>
      </c>
      <c r="AN170" s="13">
        <v>53</v>
      </c>
      <c r="AQ170" s="13">
        <f t="shared" si="13"/>
        <v>7.2404371584699451E-2</v>
      </c>
      <c r="AR170" s="13">
        <f t="shared" si="14"/>
        <v>13.58</v>
      </c>
      <c r="AS170" s="13">
        <v>0.2</v>
      </c>
      <c r="AT170" s="13">
        <v>0.4</v>
      </c>
      <c r="AU170" s="13" t="s">
        <v>723</v>
      </c>
    </row>
    <row r="171" spans="1:48" s="13" customFormat="1">
      <c r="A171" s="13">
        <v>30</v>
      </c>
      <c r="B171" s="26" t="s">
        <v>712</v>
      </c>
      <c r="C171" s="13" t="s">
        <v>166</v>
      </c>
      <c r="D171" s="27" t="s">
        <v>638</v>
      </c>
      <c r="E171" s="27" t="s">
        <v>403</v>
      </c>
      <c r="H171" s="13" t="s">
        <v>281</v>
      </c>
      <c r="J171" s="13" t="s">
        <v>74</v>
      </c>
      <c r="L171" s="27" t="s">
        <v>639</v>
      </c>
      <c r="P171" s="13" t="s">
        <v>568</v>
      </c>
      <c r="Q171" s="13" t="s">
        <v>727</v>
      </c>
      <c r="R171" s="28" t="s">
        <v>715</v>
      </c>
      <c r="T171" s="13">
        <v>0</v>
      </c>
      <c r="U171" s="13">
        <v>1.3</v>
      </c>
      <c r="W171" s="13">
        <v>1.1000000000000001</v>
      </c>
      <c r="X171" s="13" t="s">
        <v>386</v>
      </c>
      <c r="Y171" s="13" t="s">
        <v>371</v>
      </c>
      <c r="Z171" s="13" t="s">
        <v>720</v>
      </c>
      <c r="AC171" s="13">
        <v>0.05</v>
      </c>
      <c r="AD171" s="13">
        <v>0.05</v>
      </c>
      <c r="AE171" s="13" t="s">
        <v>716</v>
      </c>
      <c r="AF171" s="13" t="s">
        <v>716</v>
      </c>
      <c r="AH171" s="13">
        <v>802</v>
      </c>
      <c r="AJ171" s="13">
        <v>708</v>
      </c>
      <c r="AM171" s="13">
        <v>75</v>
      </c>
      <c r="AN171" s="13">
        <v>11</v>
      </c>
      <c r="AQ171" s="13">
        <f t="shared" si="13"/>
        <v>1.5536723163841809E-2</v>
      </c>
      <c r="AR171" s="13">
        <f t="shared" si="14"/>
        <v>13.94</v>
      </c>
      <c r="AS171" s="13">
        <v>0.2</v>
      </c>
      <c r="AT171" s="13">
        <v>0.4</v>
      </c>
      <c r="AU171" s="13" t="s">
        <v>724</v>
      </c>
    </row>
    <row r="172" spans="1:48" s="13" customFormat="1">
      <c r="A172" s="13">
        <v>30</v>
      </c>
      <c r="B172" s="26" t="s">
        <v>713</v>
      </c>
      <c r="C172" s="13" t="s">
        <v>166</v>
      </c>
      <c r="D172" s="27" t="s">
        <v>638</v>
      </c>
      <c r="E172" s="27" t="s">
        <v>403</v>
      </c>
      <c r="H172" s="13" t="s">
        <v>281</v>
      </c>
      <c r="J172" s="13" t="s">
        <v>74</v>
      </c>
      <c r="L172" s="27" t="s">
        <v>639</v>
      </c>
      <c r="P172" s="13" t="s">
        <v>568</v>
      </c>
      <c r="Q172" s="13" t="s">
        <v>727</v>
      </c>
      <c r="R172" s="28" t="s">
        <v>715</v>
      </c>
      <c r="T172" s="13">
        <v>0</v>
      </c>
      <c r="U172" s="13">
        <v>1.3</v>
      </c>
      <c r="W172" s="13">
        <v>0.7</v>
      </c>
      <c r="X172" s="13" t="s">
        <v>386</v>
      </c>
      <c r="Y172" s="13" t="s">
        <v>371</v>
      </c>
      <c r="Z172" s="13" t="s">
        <v>719</v>
      </c>
      <c r="AC172" s="13">
        <v>0.05</v>
      </c>
      <c r="AD172" s="13">
        <v>0.05</v>
      </c>
      <c r="AE172" s="13" t="s">
        <v>716</v>
      </c>
      <c r="AF172" s="13" t="s">
        <v>716</v>
      </c>
      <c r="AH172" s="13">
        <v>802</v>
      </c>
      <c r="AJ172" s="13">
        <v>715</v>
      </c>
      <c r="AM172" s="13">
        <v>176</v>
      </c>
      <c r="AN172" s="13">
        <v>45</v>
      </c>
      <c r="AP172" s="13" t="s">
        <v>722</v>
      </c>
      <c r="AQ172" s="13">
        <f t="shared" si="13"/>
        <v>6.2937062937062943E-2</v>
      </c>
      <c r="AR172" s="13">
        <f t="shared" si="14"/>
        <v>13.4</v>
      </c>
      <c r="AS172" s="13">
        <v>0.15</v>
      </c>
      <c r="AT172" s="13">
        <v>0.4</v>
      </c>
      <c r="AU172" s="13" t="s">
        <v>725</v>
      </c>
    </row>
    <row r="173" spans="1:48" s="13" customFormat="1">
      <c r="A173" s="13">
        <v>30</v>
      </c>
      <c r="B173" s="26" t="s">
        <v>714</v>
      </c>
      <c r="C173" s="13" t="s">
        <v>166</v>
      </c>
      <c r="D173" s="27" t="s">
        <v>638</v>
      </c>
      <c r="E173" s="27" t="s">
        <v>403</v>
      </c>
      <c r="F173" s="13" t="s">
        <v>717</v>
      </c>
      <c r="H173" s="13" t="s">
        <v>73</v>
      </c>
      <c r="J173" s="13" t="s">
        <v>74</v>
      </c>
      <c r="L173" s="27" t="s">
        <v>639</v>
      </c>
      <c r="P173" s="13" t="s">
        <v>568</v>
      </c>
      <c r="Q173" s="13" t="s">
        <v>727</v>
      </c>
      <c r="R173" s="28" t="s">
        <v>715</v>
      </c>
      <c r="T173" s="13">
        <v>0</v>
      </c>
      <c r="U173" s="13">
        <v>1.3</v>
      </c>
      <c r="W173" s="13">
        <v>1.4</v>
      </c>
      <c r="X173" s="13" t="s">
        <v>386</v>
      </c>
      <c r="Y173" s="13" t="s">
        <v>371</v>
      </c>
      <c r="Z173" s="13" t="s">
        <v>718</v>
      </c>
      <c r="AC173" s="13">
        <v>0.05</v>
      </c>
      <c r="AD173" s="13">
        <v>0.05</v>
      </c>
      <c r="AE173" s="13" t="s">
        <v>716</v>
      </c>
      <c r="AF173" s="13" t="s">
        <v>716</v>
      </c>
      <c r="AH173" s="13">
        <v>802</v>
      </c>
      <c r="AJ173" s="13">
        <v>733</v>
      </c>
      <c r="AM173" s="13">
        <v>78</v>
      </c>
      <c r="AN173" s="13">
        <v>15</v>
      </c>
      <c r="AQ173" s="13">
        <f t="shared" si="13"/>
        <v>2.0463847203274217E-2</v>
      </c>
      <c r="AR173" s="13">
        <f t="shared" si="14"/>
        <v>14.36</v>
      </c>
      <c r="AS173" s="13">
        <v>0.18</v>
      </c>
      <c r="AT173" s="13">
        <v>0.4</v>
      </c>
      <c r="AU173" s="13" t="s">
        <v>726</v>
      </c>
    </row>
    <row r="174" spans="1:48" s="6" customFormat="1">
      <c r="A174" s="6">
        <v>30</v>
      </c>
      <c r="B174" s="35" t="s">
        <v>731</v>
      </c>
      <c r="C174" s="6" t="s">
        <v>166</v>
      </c>
      <c r="D174" s="16" t="s">
        <v>638</v>
      </c>
      <c r="E174" s="16" t="s">
        <v>403</v>
      </c>
      <c r="F174" s="6" t="s">
        <v>738</v>
      </c>
      <c r="H174" s="6" t="s">
        <v>730</v>
      </c>
      <c r="J174" s="6" t="s">
        <v>74</v>
      </c>
      <c r="L174" s="16" t="s">
        <v>639</v>
      </c>
      <c r="P174" s="6" t="s">
        <v>568</v>
      </c>
      <c r="Q174" s="6" t="s">
        <v>728</v>
      </c>
      <c r="R174" s="17" t="s">
        <v>729</v>
      </c>
      <c r="T174" s="6">
        <v>0</v>
      </c>
      <c r="U174" s="6">
        <v>1.3</v>
      </c>
      <c r="X174" s="6" t="s">
        <v>386</v>
      </c>
      <c r="Y174" s="6" t="s">
        <v>371</v>
      </c>
      <c r="Z174" s="6" t="s">
        <v>735</v>
      </c>
      <c r="AA174" s="6" t="s">
        <v>690</v>
      </c>
      <c r="AC174" s="6">
        <v>7.0000000000000007E-2</v>
      </c>
      <c r="AD174" s="6">
        <v>7.0000000000000007E-2</v>
      </c>
      <c r="AE174" s="6" t="s">
        <v>716</v>
      </c>
      <c r="AF174" s="6" t="s">
        <v>716</v>
      </c>
      <c r="AH174" s="6">
        <v>557</v>
      </c>
    </row>
    <row r="175" spans="1:48" s="6" customFormat="1">
      <c r="A175" s="6">
        <v>30</v>
      </c>
      <c r="B175" s="35" t="s">
        <v>732</v>
      </c>
      <c r="C175" s="6" t="s">
        <v>166</v>
      </c>
      <c r="D175" s="16" t="s">
        <v>638</v>
      </c>
      <c r="E175" s="16" t="s">
        <v>403</v>
      </c>
      <c r="F175" s="6" t="s">
        <v>740</v>
      </c>
      <c r="H175" s="6" t="s">
        <v>730</v>
      </c>
      <c r="J175" s="6" t="s">
        <v>74</v>
      </c>
      <c r="L175" s="16" t="s">
        <v>639</v>
      </c>
      <c r="P175" s="6" t="s">
        <v>568</v>
      </c>
      <c r="Q175" s="6" t="s">
        <v>728</v>
      </c>
      <c r="R175" s="17" t="s">
        <v>729</v>
      </c>
      <c r="T175" s="6">
        <v>0</v>
      </c>
      <c r="U175" s="6">
        <v>1.3</v>
      </c>
      <c r="X175" s="6" t="s">
        <v>386</v>
      </c>
      <c r="Y175" s="6" t="s">
        <v>371</v>
      </c>
      <c r="Z175" s="6" t="s">
        <v>736</v>
      </c>
      <c r="AA175" s="6" t="s">
        <v>734</v>
      </c>
      <c r="AC175" s="6">
        <v>0.06</v>
      </c>
      <c r="AD175" s="6">
        <v>0.06</v>
      </c>
      <c r="AE175" s="6" t="s">
        <v>716</v>
      </c>
      <c r="AF175" s="6" t="s">
        <v>716</v>
      </c>
      <c r="AH175" s="6">
        <v>582</v>
      </c>
    </row>
    <row r="176" spans="1:48" s="6" customFormat="1">
      <c r="A176" s="6">
        <v>30</v>
      </c>
      <c r="B176" s="35" t="s">
        <v>733</v>
      </c>
      <c r="C176" s="6" t="s">
        <v>166</v>
      </c>
      <c r="D176" s="16" t="s">
        <v>638</v>
      </c>
      <c r="E176" s="16" t="s">
        <v>403</v>
      </c>
      <c r="F176" s="6" t="s">
        <v>739</v>
      </c>
      <c r="H176" s="6" t="s">
        <v>730</v>
      </c>
      <c r="J176" s="6" t="s">
        <v>74</v>
      </c>
      <c r="L176" s="16" t="s">
        <v>639</v>
      </c>
      <c r="P176" s="6" t="s">
        <v>568</v>
      </c>
      <c r="Q176" s="6" t="s">
        <v>728</v>
      </c>
      <c r="R176" s="17" t="s">
        <v>729</v>
      </c>
      <c r="T176" s="6">
        <v>0</v>
      </c>
      <c r="U176" s="6">
        <v>1.3</v>
      </c>
      <c r="X176" s="6" t="s">
        <v>386</v>
      </c>
      <c r="Y176" s="6" t="s">
        <v>371</v>
      </c>
      <c r="Z176" s="6" t="s">
        <v>737</v>
      </c>
      <c r="AA176" s="6" t="s">
        <v>691</v>
      </c>
      <c r="AC176" s="6">
        <v>5.5E-2</v>
      </c>
      <c r="AD176" s="6">
        <v>5.5E-2</v>
      </c>
      <c r="AE176" s="6" t="s">
        <v>716</v>
      </c>
      <c r="AF176" s="6" t="s">
        <v>716</v>
      </c>
      <c r="AH176" s="6">
        <v>676</v>
      </c>
    </row>
    <row r="177" spans="1:47" s="13" customFormat="1">
      <c r="A177" s="13" t="s">
        <v>80</v>
      </c>
      <c r="B177" s="26" t="s">
        <v>747</v>
      </c>
      <c r="C177" s="13" t="s">
        <v>166</v>
      </c>
      <c r="D177" s="27" t="s">
        <v>744</v>
      </c>
      <c r="E177" s="27" t="s">
        <v>403</v>
      </c>
      <c r="H177" s="13" t="s">
        <v>741</v>
      </c>
      <c r="J177" s="13" t="s">
        <v>74</v>
      </c>
      <c r="L177" s="27" t="s">
        <v>128</v>
      </c>
      <c r="P177" s="13" t="s">
        <v>568</v>
      </c>
      <c r="Q177" s="13" t="s">
        <v>742</v>
      </c>
      <c r="R177" s="28" t="s">
        <v>743</v>
      </c>
      <c r="T177" s="13">
        <v>0.02</v>
      </c>
      <c r="U177" s="13">
        <v>1.2</v>
      </c>
      <c r="W177" s="33" t="s">
        <v>745</v>
      </c>
      <c r="X177" s="13" t="s">
        <v>746</v>
      </c>
      <c r="AE177" s="13" t="s">
        <v>603</v>
      </c>
      <c r="AF177" s="13" t="s">
        <v>603</v>
      </c>
      <c r="AG177" s="13">
        <v>0.02</v>
      </c>
      <c r="AJ177" s="13">
        <v>1087</v>
      </c>
      <c r="AM177" s="13">
        <v>609</v>
      </c>
      <c r="AN177" s="13">
        <v>570</v>
      </c>
      <c r="AQ177" s="13">
        <f t="shared" ref="AQ177:AQ191" si="15">AN177/AJ177</f>
        <v>0.52437902483900645</v>
      </c>
      <c r="AR177" s="13">
        <f t="shared" ref="AR177:AR191" si="16">(AJ177-AN177)/50</f>
        <v>10.34</v>
      </c>
      <c r="AS177" s="13" t="s">
        <v>750</v>
      </c>
      <c r="AT177" s="13" t="s">
        <v>751</v>
      </c>
      <c r="AU177" s="13" t="s">
        <v>752</v>
      </c>
    </row>
    <row r="178" spans="1:47" s="13" customFormat="1">
      <c r="A178" s="13" t="s">
        <v>80</v>
      </c>
      <c r="B178" s="26" t="s">
        <v>748</v>
      </c>
      <c r="C178" s="13" t="s">
        <v>166</v>
      </c>
      <c r="D178" s="27" t="s">
        <v>744</v>
      </c>
      <c r="E178" s="27" t="s">
        <v>403</v>
      </c>
      <c r="H178" s="13" t="s">
        <v>741</v>
      </c>
      <c r="J178" s="13" t="s">
        <v>74</v>
      </c>
      <c r="L178" s="27" t="s">
        <v>128</v>
      </c>
      <c r="P178" s="13" t="s">
        <v>568</v>
      </c>
      <c r="Q178" s="13" t="s">
        <v>742</v>
      </c>
      <c r="R178" s="28" t="s">
        <v>743</v>
      </c>
      <c r="T178" s="13">
        <v>0.02</v>
      </c>
      <c r="U178" s="13">
        <v>1.2</v>
      </c>
      <c r="X178" s="13" t="s">
        <v>746</v>
      </c>
      <c r="AE178" s="13" t="s">
        <v>603</v>
      </c>
      <c r="AF178" s="13" t="s">
        <v>603</v>
      </c>
      <c r="AG178" s="13">
        <v>0.02</v>
      </c>
      <c r="AJ178" s="13">
        <v>831</v>
      </c>
      <c r="AM178" s="13">
        <v>518</v>
      </c>
      <c r="AN178" s="13">
        <v>321</v>
      </c>
      <c r="AQ178" s="13">
        <f t="shared" si="15"/>
        <v>0.38628158844765342</v>
      </c>
      <c r="AR178" s="13">
        <f t="shared" si="16"/>
        <v>10.199999999999999</v>
      </c>
      <c r="AS178" s="13" t="s">
        <v>753</v>
      </c>
      <c r="AT178" s="13" t="s">
        <v>754</v>
      </c>
      <c r="AU178" s="13" t="s">
        <v>755</v>
      </c>
    </row>
    <row r="179" spans="1:47" s="13" customFormat="1">
      <c r="A179" s="13" t="s">
        <v>80</v>
      </c>
      <c r="B179" s="26" t="s">
        <v>749</v>
      </c>
      <c r="C179" s="13" t="s">
        <v>166</v>
      </c>
      <c r="D179" s="27" t="s">
        <v>744</v>
      </c>
      <c r="E179" s="27" t="s">
        <v>403</v>
      </c>
      <c r="H179" s="13" t="s">
        <v>741</v>
      </c>
      <c r="J179" s="13" t="s">
        <v>74</v>
      </c>
      <c r="L179" s="27" t="s">
        <v>128</v>
      </c>
      <c r="P179" s="13" t="s">
        <v>568</v>
      </c>
      <c r="Q179" s="13" t="s">
        <v>742</v>
      </c>
      <c r="R179" s="28" t="s">
        <v>743</v>
      </c>
      <c r="T179" s="13">
        <v>0.02</v>
      </c>
      <c r="U179" s="13">
        <v>1.2</v>
      </c>
      <c r="X179" s="13" t="s">
        <v>746</v>
      </c>
      <c r="AE179" s="13" t="s">
        <v>603</v>
      </c>
      <c r="AF179" s="13" t="s">
        <v>603</v>
      </c>
      <c r="AG179" s="13">
        <v>0.02</v>
      </c>
      <c r="AJ179" s="13">
        <v>778</v>
      </c>
      <c r="AM179" s="13">
        <v>123</v>
      </c>
      <c r="AN179" s="13">
        <v>84</v>
      </c>
      <c r="AQ179" s="13">
        <f t="shared" si="15"/>
        <v>0.10796915167095116</v>
      </c>
      <c r="AR179" s="13">
        <f t="shared" si="16"/>
        <v>13.88</v>
      </c>
      <c r="AS179" s="13">
        <v>0.7</v>
      </c>
      <c r="AT179" s="13">
        <v>0.75</v>
      </c>
      <c r="AU179" s="13">
        <v>1.1000000000000001</v>
      </c>
    </row>
    <row r="180" spans="1:47">
      <c r="A180" t="s">
        <v>80</v>
      </c>
      <c r="B180" s="26" t="s">
        <v>756</v>
      </c>
      <c r="C180" s="13" t="s">
        <v>166</v>
      </c>
      <c r="D180" s="27" t="s">
        <v>744</v>
      </c>
      <c r="E180" s="11" t="s">
        <v>403</v>
      </c>
      <c r="H180" s="13" t="s">
        <v>741</v>
      </c>
      <c r="J180" s="13" t="s">
        <v>74</v>
      </c>
      <c r="L180" s="27" t="s">
        <v>128</v>
      </c>
      <c r="P180" t="s">
        <v>568</v>
      </c>
      <c r="Q180" s="13" t="s">
        <v>742</v>
      </c>
      <c r="R180" s="28" t="s">
        <v>743</v>
      </c>
      <c r="T180" s="13">
        <v>0.02</v>
      </c>
      <c r="U180" s="13">
        <v>1.2</v>
      </c>
      <c r="X180" s="13" t="s">
        <v>746</v>
      </c>
      <c r="AE180" s="13" t="s">
        <v>603</v>
      </c>
      <c r="AF180" s="13" t="s">
        <v>603</v>
      </c>
      <c r="AG180" s="13">
        <v>0.02</v>
      </c>
      <c r="AJ180" s="13">
        <v>450</v>
      </c>
      <c r="AK180" s="13"/>
      <c r="AL180" s="13"/>
      <c r="AM180" s="13">
        <v>129</v>
      </c>
      <c r="AN180" s="13">
        <v>45</v>
      </c>
      <c r="AQ180" s="13">
        <f t="shared" si="15"/>
        <v>0.1</v>
      </c>
      <c r="AR180" s="13">
        <f t="shared" si="16"/>
        <v>8.1</v>
      </c>
      <c r="AS180">
        <v>0.05</v>
      </c>
      <c r="AT180">
        <v>0.25</v>
      </c>
      <c r="AU180" t="s">
        <v>759</v>
      </c>
    </row>
    <row r="181" spans="1:47">
      <c r="A181" t="s">
        <v>80</v>
      </c>
      <c r="B181" s="26" t="s">
        <v>757</v>
      </c>
      <c r="C181" s="13" t="s">
        <v>166</v>
      </c>
      <c r="D181" s="27" t="s">
        <v>744</v>
      </c>
      <c r="E181" s="11" t="s">
        <v>403</v>
      </c>
      <c r="H181" s="13" t="s">
        <v>741</v>
      </c>
      <c r="J181" s="13" t="s">
        <v>74</v>
      </c>
      <c r="L181" s="27" t="s">
        <v>128</v>
      </c>
      <c r="P181" t="s">
        <v>568</v>
      </c>
      <c r="Q181" s="13" t="s">
        <v>742</v>
      </c>
      <c r="R181" s="28" t="s">
        <v>743</v>
      </c>
      <c r="T181">
        <v>0.02</v>
      </c>
      <c r="U181" s="13">
        <v>1.2</v>
      </c>
      <c r="X181" s="13" t="s">
        <v>746</v>
      </c>
      <c r="AE181" s="13" t="s">
        <v>603</v>
      </c>
      <c r="AF181" s="13" t="s">
        <v>603</v>
      </c>
      <c r="AG181" s="13">
        <v>0.02</v>
      </c>
      <c r="AJ181" s="13">
        <v>740</v>
      </c>
      <c r="AK181" s="13"/>
      <c r="AL181" s="13"/>
      <c r="AM181" s="13">
        <v>215</v>
      </c>
      <c r="AN181" s="13">
        <v>206</v>
      </c>
      <c r="AQ181" s="13">
        <f t="shared" si="15"/>
        <v>0.27837837837837837</v>
      </c>
      <c r="AR181" s="13">
        <f t="shared" si="16"/>
        <v>10.68</v>
      </c>
      <c r="AS181">
        <v>0.7</v>
      </c>
      <c r="AT181">
        <v>0.8</v>
      </c>
      <c r="AU181">
        <v>1.1000000000000001</v>
      </c>
    </row>
    <row r="182" spans="1:47">
      <c r="A182" t="s">
        <v>80</v>
      </c>
      <c r="B182" s="26" t="s">
        <v>758</v>
      </c>
      <c r="C182" s="13" t="s">
        <v>166</v>
      </c>
      <c r="D182" s="27" t="s">
        <v>744</v>
      </c>
      <c r="E182" s="11" t="s">
        <v>403</v>
      </c>
      <c r="H182" s="13" t="s">
        <v>741</v>
      </c>
      <c r="J182" s="13" t="s">
        <v>74</v>
      </c>
      <c r="L182" s="27" t="s">
        <v>128</v>
      </c>
      <c r="P182" t="s">
        <v>568</v>
      </c>
      <c r="Q182" s="13" t="s">
        <v>742</v>
      </c>
      <c r="R182" s="28" t="s">
        <v>743</v>
      </c>
      <c r="T182">
        <v>0.02</v>
      </c>
      <c r="U182" s="13">
        <v>1.2</v>
      </c>
      <c r="X182" s="13" t="s">
        <v>746</v>
      </c>
      <c r="AE182" s="13" t="s">
        <v>603</v>
      </c>
      <c r="AF182" s="13" t="s">
        <v>603</v>
      </c>
      <c r="AG182" s="13">
        <v>0.02</v>
      </c>
      <c r="AJ182" s="13">
        <v>564</v>
      </c>
      <c r="AK182" s="13"/>
      <c r="AL182" s="13"/>
      <c r="AM182" s="13">
        <v>240</v>
      </c>
      <c r="AN182" s="13">
        <v>250</v>
      </c>
      <c r="AQ182" s="13">
        <f t="shared" si="15"/>
        <v>0.4432624113475177</v>
      </c>
      <c r="AR182" s="13">
        <f t="shared" si="16"/>
        <v>6.28</v>
      </c>
      <c r="AS182">
        <v>0.77</v>
      </c>
      <c r="AT182">
        <v>0.6</v>
      </c>
      <c r="AU182" t="s">
        <v>760</v>
      </c>
    </row>
    <row r="183" spans="1:47" s="13" customFormat="1">
      <c r="A183" s="13" t="s">
        <v>80</v>
      </c>
      <c r="B183" s="26" t="s">
        <v>763</v>
      </c>
      <c r="C183" s="13" t="s">
        <v>166</v>
      </c>
      <c r="D183" s="27" t="s">
        <v>236</v>
      </c>
      <c r="E183" s="27" t="s">
        <v>403</v>
      </c>
      <c r="H183" s="13" t="s">
        <v>628</v>
      </c>
      <c r="J183" s="13" t="s">
        <v>74</v>
      </c>
      <c r="L183" s="27" t="s">
        <v>767</v>
      </c>
      <c r="P183" s="13" t="s">
        <v>568</v>
      </c>
      <c r="Q183" s="13" t="s">
        <v>761</v>
      </c>
      <c r="R183" s="28" t="s">
        <v>762</v>
      </c>
      <c r="T183" s="13">
        <v>0</v>
      </c>
      <c r="U183" s="13">
        <v>3</v>
      </c>
      <c r="X183" s="13" t="s">
        <v>746</v>
      </c>
      <c r="AE183" s="13">
        <v>50</v>
      </c>
      <c r="AF183" s="13">
        <v>50</v>
      </c>
      <c r="AG183" s="13">
        <v>0.2</v>
      </c>
      <c r="AJ183" s="13">
        <v>283</v>
      </c>
      <c r="AM183" s="13">
        <v>301</v>
      </c>
      <c r="AN183" s="13">
        <v>321</v>
      </c>
      <c r="AP183" s="13" t="s">
        <v>770</v>
      </c>
      <c r="AQ183" s="13">
        <f t="shared" si="15"/>
        <v>1.1342756183745584</v>
      </c>
      <c r="AR183" s="13">
        <f t="shared" si="16"/>
        <v>-0.76</v>
      </c>
      <c r="AS183" s="13">
        <v>0.11</v>
      </c>
      <c r="AU183" s="13">
        <v>0.63</v>
      </c>
    </row>
    <row r="184" spans="1:47" s="13" customFormat="1">
      <c r="A184" s="13" t="s">
        <v>80</v>
      </c>
      <c r="B184" s="26" t="s">
        <v>764</v>
      </c>
      <c r="C184" s="13" t="s">
        <v>166</v>
      </c>
      <c r="D184" s="27" t="s">
        <v>236</v>
      </c>
      <c r="E184" s="27" t="s">
        <v>403</v>
      </c>
      <c r="H184" s="13" t="s">
        <v>628</v>
      </c>
      <c r="J184" s="13" t="s">
        <v>74</v>
      </c>
      <c r="L184" s="27" t="s">
        <v>767</v>
      </c>
      <c r="P184" s="13" t="s">
        <v>568</v>
      </c>
      <c r="Q184" s="13" t="s">
        <v>761</v>
      </c>
      <c r="R184" s="28" t="s">
        <v>762</v>
      </c>
      <c r="T184" s="13">
        <v>0</v>
      </c>
      <c r="U184" s="13">
        <v>3</v>
      </c>
      <c r="X184" s="13" t="s">
        <v>746</v>
      </c>
      <c r="AE184" s="13">
        <v>50</v>
      </c>
      <c r="AF184" s="13">
        <v>50</v>
      </c>
      <c r="AG184" s="13">
        <v>0.2</v>
      </c>
      <c r="AJ184" s="13">
        <v>599</v>
      </c>
      <c r="AM184" s="13">
        <v>565</v>
      </c>
      <c r="AN184" s="13">
        <v>626</v>
      </c>
      <c r="AP184" s="13" t="s">
        <v>769</v>
      </c>
      <c r="AQ184" s="13">
        <f t="shared" si="15"/>
        <v>1.0450751252086812</v>
      </c>
      <c r="AR184" s="13">
        <f t="shared" si="16"/>
        <v>-0.54</v>
      </c>
      <c r="AS184" s="13">
        <v>0.35</v>
      </c>
      <c r="AU184" s="13" t="s">
        <v>771</v>
      </c>
    </row>
    <row r="185" spans="1:47" s="13" customFormat="1">
      <c r="A185" s="13" t="s">
        <v>80</v>
      </c>
      <c r="B185" s="26" t="s">
        <v>765</v>
      </c>
      <c r="C185" s="13" t="s">
        <v>166</v>
      </c>
      <c r="D185" s="27" t="s">
        <v>236</v>
      </c>
      <c r="E185" s="27" t="s">
        <v>403</v>
      </c>
      <c r="H185" s="13" t="s">
        <v>628</v>
      </c>
      <c r="J185" s="13" t="s">
        <v>74</v>
      </c>
      <c r="L185" s="27" t="s">
        <v>767</v>
      </c>
      <c r="P185" s="13" t="s">
        <v>568</v>
      </c>
      <c r="Q185" s="13" t="s">
        <v>761</v>
      </c>
      <c r="R185" s="28" t="s">
        <v>762</v>
      </c>
      <c r="T185" s="13">
        <v>0</v>
      </c>
      <c r="U185" s="13">
        <v>3</v>
      </c>
      <c r="X185" s="13" t="s">
        <v>746</v>
      </c>
      <c r="AE185" s="13">
        <v>50</v>
      </c>
      <c r="AF185" s="13">
        <v>50</v>
      </c>
      <c r="AG185" s="13">
        <v>0.2</v>
      </c>
      <c r="AJ185" s="13">
        <v>844</v>
      </c>
      <c r="AM185" s="13">
        <v>329</v>
      </c>
      <c r="AN185" s="13">
        <v>322</v>
      </c>
      <c r="AP185" s="13" t="s">
        <v>269</v>
      </c>
      <c r="AQ185" s="13">
        <f t="shared" si="15"/>
        <v>0.38151658767772512</v>
      </c>
      <c r="AR185" s="13">
        <f t="shared" si="16"/>
        <v>10.44</v>
      </c>
      <c r="AU185" s="13" t="s">
        <v>772</v>
      </c>
    </row>
    <row r="186" spans="1:47" s="13" customFormat="1">
      <c r="A186" s="13" t="s">
        <v>80</v>
      </c>
      <c r="B186" s="26" t="s">
        <v>766</v>
      </c>
      <c r="C186" s="13" t="s">
        <v>166</v>
      </c>
      <c r="D186" s="27" t="s">
        <v>236</v>
      </c>
      <c r="E186" s="27" t="s">
        <v>403</v>
      </c>
      <c r="H186" s="13" t="s">
        <v>628</v>
      </c>
      <c r="J186" s="13" t="s">
        <v>74</v>
      </c>
      <c r="L186" s="27" t="s">
        <v>767</v>
      </c>
      <c r="P186" s="13" t="s">
        <v>568</v>
      </c>
      <c r="Q186" s="13" t="s">
        <v>761</v>
      </c>
      <c r="R186" s="28" t="s">
        <v>762</v>
      </c>
      <c r="T186" s="13">
        <v>0</v>
      </c>
      <c r="U186" s="13">
        <v>3</v>
      </c>
      <c r="X186" s="13" t="s">
        <v>746</v>
      </c>
      <c r="AE186" s="13">
        <v>50</v>
      </c>
      <c r="AF186" s="13">
        <v>50</v>
      </c>
      <c r="AG186" s="13">
        <v>0.2</v>
      </c>
      <c r="AJ186" s="13">
        <v>885</v>
      </c>
      <c r="AM186" s="13">
        <v>303</v>
      </c>
      <c r="AN186" s="13">
        <v>288</v>
      </c>
      <c r="AP186" s="13" t="s">
        <v>768</v>
      </c>
      <c r="AQ186" s="13">
        <f t="shared" si="15"/>
        <v>0.3254237288135593</v>
      </c>
      <c r="AR186" s="13">
        <f t="shared" si="16"/>
        <v>11.94</v>
      </c>
      <c r="AS186" s="13" t="s">
        <v>773</v>
      </c>
      <c r="AU186" s="13" t="s">
        <v>774</v>
      </c>
    </row>
    <row r="187" spans="1:47">
      <c r="A187" s="13" t="s">
        <v>80</v>
      </c>
      <c r="B187" s="26" t="s">
        <v>775</v>
      </c>
      <c r="C187" s="13" t="s">
        <v>166</v>
      </c>
      <c r="D187" s="27" t="s">
        <v>778</v>
      </c>
      <c r="E187" s="11" t="s">
        <v>403</v>
      </c>
      <c r="H187" s="13" t="s">
        <v>776</v>
      </c>
      <c r="J187" s="13" t="s">
        <v>74</v>
      </c>
      <c r="L187" s="27" t="s">
        <v>777</v>
      </c>
      <c r="P187" s="13" t="s">
        <v>568</v>
      </c>
      <c r="Q187" s="13" t="s">
        <v>780</v>
      </c>
      <c r="R187" s="7" t="s">
        <v>781</v>
      </c>
      <c r="T187" s="13">
        <v>0</v>
      </c>
      <c r="U187" s="13">
        <v>1.5</v>
      </c>
      <c r="X187" s="13" t="s">
        <v>98</v>
      </c>
      <c r="AC187">
        <v>0.5</v>
      </c>
      <c r="AD187">
        <v>0.5</v>
      </c>
      <c r="AE187" s="13">
        <v>400</v>
      </c>
      <c r="AF187" s="13">
        <v>400</v>
      </c>
      <c r="AH187">
        <v>800</v>
      </c>
      <c r="AJ187" s="13">
        <v>687</v>
      </c>
      <c r="AK187" s="13"/>
      <c r="AL187" s="13"/>
      <c r="AM187" s="13">
        <v>671</v>
      </c>
      <c r="AN187" s="13">
        <v>665</v>
      </c>
      <c r="AQ187" s="13">
        <f t="shared" si="15"/>
        <v>0.96797671033478894</v>
      </c>
      <c r="AR187" s="13">
        <f t="shared" si="16"/>
        <v>0.44</v>
      </c>
      <c r="AS187" s="13">
        <v>0.48</v>
      </c>
      <c r="AU187" t="s">
        <v>779</v>
      </c>
    </row>
    <row r="188" spans="1:47">
      <c r="A188" s="13" t="s">
        <v>80</v>
      </c>
      <c r="B188" s="26" t="s">
        <v>782</v>
      </c>
      <c r="C188" s="13" t="s">
        <v>166</v>
      </c>
      <c r="D188" s="27" t="s">
        <v>787</v>
      </c>
      <c r="E188" s="11" t="s">
        <v>403</v>
      </c>
      <c r="F188" t="s">
        <v>783</v>
      </c>
      <c r="H188" s="6" t="s">
        <v>786</v>
      </c>
      <c r="J188" s="13" t="s">
        <v>74</v>
      </c>
      <c r="L188" s="27" t="s">
        <v>84</v>
      </c>
      <c r="P188" s="13" t="s">
        <v>792</v>
      </c>
      <c r="Q188" s="13" t="s">
        <v>785</v>
      </c>
      <c r="R188" t="s">
        <v>784</v>
      </c>
      <c r="T188" s="13">
        <v>0.01</v>
      </c>
      <c r="U188" s="13">
        <v>1.5</v>
      </c>
      <c r="V188">
        <v>0.03</v>
      </c>
      <c r="Y188" t="s">
        <v>401</v>
      </c>
      <c r="AC188">
        <v>0.1</v>
      </c>
      <c r="AD188">
        <v>0.1</v>
      </c>
      <c r="AE188" t="s">
        <v>788</v>
      </c>
      <c r="AF188" t="s">
        <v>788</v>
      </c>
      <c r="AH188">
        <v>516.5</v>
      </c>
      <c r="AJ188" s="13">
        <v>1125</v>
      </c>
      <c r="AK188" s="13"/>
      <c r="AL188" s="13"/>
      <c r="AM188" s="13">
        <v>444</v>
      </c>
      <c r="AN188" s="13">
        <v>424</v>
      </c>
      <c r="AO188" s="13">
        <v>408</v>
      </c>
      <c r="AQ188" s="13">
        <f t="shared" si="15"/>
        <v>0.37688888888888888</v>
      </c>
      <c r="AR188" s="13">
        <f t="shared" si="16"/>
        <v>14.02</v>
      </c>
      <c r="AS188" t="s">
        <v>789</v>
      </c>
      <c r="AT188" t="s">
        <v>790</v>
      </c>
      <c r="AU188" t="s">
        <v>791</v>
      </c>
    </row>
    <row r="189" spans="1:47">
      <c r="A189" t="s">
        <v>80</v>
      </c>
      <c r="B189" s="26" t="s">
        <v>795</v>
      </c>
      <c r="C189" t="s">
        <v>166</v>
      </c>
      <c r="D189" s="27" t="s">
        <v>622</v>
      </c>
      <c r="E189" s="11" t="s">
        <v>403</v>
      </c>
      <c r="J189" t="s">
        <v>74</v>
      </c>
      <c r="L189" s="11" t="s">
        <v>128</v>
      </c>
      <c r="P189" s="13" t="s">
        <v>568</v>
      </c>
      <c r="Q189" s="13" t="s">
        <v>793</v>
      </c>
      <c r="R189" s="7" t="s">
        <v>794</v>
      </c>
      <c r="T189" s="13">
        <v>0</v>
      </c>
      <c r="U189" s="13">
        <v>1.5</v>
      </c>
      <c r="V189">
        <v>5</v>
      </c>
      <c r="AC189">
        <v>0.06</v>
      </c>
      <c r="AD189">
        <v>0.06</v>
      </c>
      <c r="AE189">
        <v>100</v>
      </c>
      <c r="AF189">
        <v>100</v>
      </c>
      <c r="AH189">
        <v>1620</v>
      </c>
      <c r="AJ189" s="13">
        <v>1546</v>
      </c>
      <c r="AK189" s="13"/>
      <c r="AL189" s="13"/>
      <c r="AM189" s="13">
        <v>190</v>
      </c>
      <c r="AN189" s="13">
        <v>83</v>
      </c>
      <c r="AQ189" s="13">
        <f t="shared" si="15"/>
        <v>5.36869340232859E-2</v>
      </c>
      <c r="AR189" s="13">
        <f t="shared" si="16"/>
        <v>29.26</v>
      </c>
      <c r="AS189" t="s">
        <v>800</v>
      </c>
      <c r="AU189" t="s">
        <v>801</v>
      </c>
    </row>
    <row r="190" spans="1:47">
      <c r="A190" t="s">
        <v>80</v>
      </c>
      <c r="B190" s="26" t="s">
        <v>796</v>
      </c>
      <c r="C190" t="s">
        <v>166</v>
      </c>
      <c r="D190" s="27" t="s">
        <v>622</v>
      </c>
      <c r="E190" s="11" t="s">
        <v>403</v>
      </c>
      <c r="F190" t="s">
        <v>798</v>
      </c>
      <c r="H190" t="s">
        <v>281</v>
      </c>
      <c r="J190" t="s">
        <v>74</v>
      </c>
      <c r="L190" s="11" t="s">
        <v>128</v>
      </c>
      <c r="P190" t="s">
        <v>568</v>
      </c>
      <c r="Q190" s="13" t="s">
        <v>793</v>
      </c>
      <c r="R190" s="7" t="s">
        <v>794</v>
      </c>
      <c r="T190" s="13">
        <v>0.27</v>
      </c>
      <c r="U190" s="13">
        <v>1.5</v>
      </c>
      <c r="AC190">
        <v>0.06</v>
      </c>
      <c r="AD190">
        <v>0.06</v>
      </c>
      <c r="AE190">
        <v>100</v>
      </c>
      <c r="AF190">
        <v>100</v>
      </c>
      <c r="AH190">
        <v>1620</v>
      </c>
      <c r="AJ190" s="13">
        <v>866</v>
      </c>
      <c r="AK190" s="13"/>
      <c r="AL190" s="13"/>
      <c r="AM190" s="13">
        <v>706</v>
      </c>
      <c r="AN190" s="13">
        <v>584</v>
      </c>
      <c r="AQ190" s="13">
        <f t="shared" si="15"/>
        <v>0.67436489607390304</v>
      </c>
      <c r="AR190" s="13">
        <f t="shared" si="16"/>
        <v>5.64</v>
      </c>
      <c r="AS190">
        <v>0.34</v>
      </c>
      <c r="AU190" t="s">
        <v>802</v>
      </c>
    </row>
    <row r="191" spans="1:47">
      <c r="A191" t="s">
        <v>80</v>
      </c>
      <c r="B191" s="26" t="s">
        <v>797</v>
      </c>
      <c r="C191" t="s">
        <v>166</v>
      </c>
      <c r="D191" s="27" t="s">
        <v>622</v>
      </c>
      <c r="E191" s="11" t="s">
        <v>403</v>
      </c>
      <c r="F191" t="s">
        <v>799</v>
      </c>
      <c r="H191" t="s">
        <v>281</v>
      </c>
      <c r="J191" t="s">
        <v>74</v>
      </c>
      <c r="L191" s="11" t="s">
        <v>128</v>
      </c>
      <c r="P191" t="s">
        <v>568</v>
      </c>
      <c r="Q191" s="13" t="s">
        <v>793</v>
      </c>
      <c r="R191" s="7" t="s">
        <v>794</v>
      </c>
      <c r="T191" s="13">
        <v>0.22</v>
      </c>
      <c r="U191" s="13">
        <v>1.5</v>
      </c>
      <c r="AC191">
        <v>0.06</v>
      </c>
      <c r="AD191">
        <v>0.06</v>
      </c>
      <c r="AE191">
        <v>100</v>
      </c>
      <c r="AF191">
        <v>100</v>
      </c>
      <c r="AH191">
        <v>1620</v>
      </c>
      <c r="AJ191" s="13">
        <v>712</v>
      </c>
      <c r="AK191" s="13"/>
      <c r="AL191" s="13"/>
      <c r="AM191" s="13">
        <v>503</v>
      </c>
      <c r="AN191" s="13">
        <v>477</v>
      </c>
      <c r="AQ191" s="13">
        <f t="shared" si="15"/>
        <v>0.6699438202247191</v>
      </c>
      <c r="AR191" s="13">
        <f t="shared" si="16"/>
        <v>4.7</v>
      </c>
      <c r="AS191" t="s">
        <v>803</v>
      </c>
      <c r="AU191" t="s">
        <v>804</v>
      </c>
    </row>
    <row r="192" spans="1:47">
      <c r="A192" t="s">
        <v>80</v>
      </c>
      <c r="B192" s="26" t="s">
        <v>807</v>
      </c>
      <c r="C192" t="s">
        <v>166</v>
      </c>
      <c r="D192" s="27" t="s">
        <v>622</v>
      </c>
      <c r="E192" s="11" t="s">
        <v>403</v>
      </c>
      <c r="H192" t="s">
        <v>817</v>
      </c>
      <c r="J192" t="s">
        <v>74</v>
      </c>
      <c r="L192" s="11" t="s">
        <v>128</v>
      </c>
      <c r="P192" t="s">
        <v>811</v>
      </c>
      <c r="Q192" s="13" t="s">
        <v>805</v>
      </c>
      <c r="R192" s="7" t="s">
        <v>806</v>
      </c>
      <c r="T192" s="13">
        <v>0</v>
      </c>
      <c r="U192" s="13">
        <v>2</v>
      </c>
      <c r="V192">
        <v>15</v>
      </c>
      <c r="Y192" t="s">
        <v>85</v>
      </c>
      <c r="AE192" t="s">
        <v>810</v>
      </c>
      <c r="AF192" t="s">
        <v>810</v>
      </c>
      <c r="AJ192" s="13">
        <v>1692</v>
      </c>
      <c r="AK192" s="13"/>
      <c r="AL192" s="13"/>
      <c r="AM192" s="13">
        <v>49</v>
      </c>
      <c r="AP192" t="s">
        <v>178</v>
      </c>
      <c r="AS192" t="s">
        <v>812</v>
      </c>
      <c r="AU192">
        <v>0.82</v>
      </c>
    </row>
    <row r="193" spans="1:49">
      <c r="A193" t="s">
        <v>80</v>
      </c>
      <c r="B193" s="26" t="s">
        <v>808</v>
      </c>
      <c r="C193" t="s">
        <v>166</v>
      </c>
      <c r="D193" s="27" t="s">
        <v>622</v>
      </c>
      <c r="E193" s="11" t="s">
        <v>403</v>
      </c>
      <c r="H193" t="s">
        <v>817</v>
      </c>
      <c r="J193" t="s">
        <v>74</v>
      </c>
      <c r="L193" s="11" t="s">
        <v>128</v>
      </c>
      <c r="P193" t="s">
        <v>811</v>
      </c>
      <c r="Q193" s="13" t="s">
        <v>805</v>
      </c>
      <c r="R193" s="7" t="s">
        <v>806</v>
      </c>
      <c r="T193" s="13">
        <v>0</v>
      </c>
      <c r="U193" s="13">
        <v>2</v>
      </c>
      <c r="V193">
        <v>3.3</v>
      </c>
      <c r="Y193" t="s">
        <v>85</v>
      </c>
      <c r="AE193" t="s">
        <v>810</v>
      </c>
      <c r="AF193" t="s">
        <v>810</v>
      </c>
      <c r="AJ193" s="13">
        <v>2010</v>
      </c>
      <c r="AK193" s="13"/>
      <c r="AL193" s="13"/>
      <c r="AM193" s="13">
        <v>259</v>
      </c>
      <c r="AS193" t="s">
        <v>813</v>
      </c>
      <c r="AU193">
        <v>1.1200000000000001</v>
      </c>
    </row>
    <row r="194" spans="1:49">
      <c r="A194" t="s">
        <v>80</v>
      </c>
      <c r="B194" s="26" t="s">
        <v>808</v>
      </c>
      <c r="C194" t="s">
        <v>166</v>
      </c>
      <c r="D194" s="27" t="s">
        <v>622</v>
      </c>
      <c r="E194" s="11" t="s">
        <v>403</v>
      </c>
      <c r="F194" t="s">
        <v>809</v>
      </c>
      <c r="H194" t="s">
        <v>817</v>
      </c>
      <c r="J194" t="s">
        <v>74</v>
      </c>
      <c r="L194" s="11" t="s">
        <v>128</v>
      </c>
      <c r="P194" t="s">
        <v>811</v>
      </c>
      <c r="Q194" s="13" t="s">
        <v>805</v>
      </c>
      <c r="R194" s="7" t="s">
        <v>806</v>
      </c>
      <c r="T194" s="13">
        <v>0.78</v>
      </c>
      <c r="U194" s="13">
        <v>2</v>
      </c>
      <c r="Y194" t="s">
        <v>85</v>
      </c>
      <c r="AE194" t="s">
        <v>810</v>
      </c>
      <c r="AF194" t="s">
        <v>810</v>
      </c>
      <c r="AJ194" s="13">
        <v>589</v>
      </c>
      <c r="AK194" s="13"/>
      <c r="AL194" s="13"/>
      <c r="AM194" s="13">
        <v>607</v>
      </c>
      <c r="AN194">
        <v>617</v>
      </c>
      <c r="AO194">
        <v>610</v>
      </c>
      <c r="AQ194" s="13">
        <f t="shared" ref="AQ194:AQ200" si="17">AN194/AJ194</f>
        <v>1.0475382003395586</v>
      </c>
      <c r="AR194" s="13">
        <f t="shared" ref="AR194:AR200" si="18">(AJ194-AN194)/50</f>
        <v>-0.56000000000000005</v>
      </c>
      <c r="AS194" t="s">
        <v>814</v>
      </c>
      <c r="AU194">
        <v>1.1200000000000001</v>
      </c>
    </row>
    <row r="195" spans="1:49">
      <c r="A195" t="s">
        <v>80</v>
      </c>
      <c r="B195" s="26" t="s">
        <v>815</v>
      </c>
      <c r="C195" t="s">
        <v>166</v>
      </c>
      <c r="D195" s="27" t="s">
        <v>818</v>
      </c>
      <c r="E195" s="11" t="s">
        <v>403</v>
      </c>
      <c r="H195" t="s">
        <v>817</v>
      </c>
      <c r="J195" t="s">
        <v>74</v>
      </c>
      <c r="L195" s="11" t="s">
        <v>128</v>
      </c>
      <c r="P195" t="s">
        <v>168</v>
      </c>
      <c r="Q195" s="13" t="s">
        <v>503</v>
      </c>
      <c r="R195" s="7" t="s">
        <v>816</v>
      </c>
      <c r="T195" s="13">
        <v>0</v>
      </c>
      <c r="U195" s="13">
        <v>2</v>
      </c>
      <c r="X195" t="s">
        <v>98</v>
      </c>
      <c r="Y195" t="s">
        <v>85</v>
      </c>
      <c r="AA195" t="s">
        <v>157</v>
      </c>
      <c r="AE195">
        <v>100</v>
      </c>
      <c r="AF195">
        <v>100</v>
      </c>
      <c r="AJ195" s="13">
        <v>401</v>
      </c>
      <c r="AK195" s="13"/>
      <c r="AL195" s="13"/>
      <c r="AM195" s="13">
        <v>241</v>
      </c>
      <c r="AN195">
        <v>238</v>
      </c>
      <c r="AO195">
        <v>240</v>
      </c>
      <c r="AQ195" s="13">
        <f t="shared" si="17"/>
        <v>0.59351620947630923</v>
      </c>
      <c r="AR195" s="13">
        <f t="shared" si="18"/>
        <v>3.26</v>
      </c>
      <c r="AS195" t="s">
        <v>819</v>
      </c>
      <c r="AT195" t="s">
        <v>820</v>
      </c>
      <c r="AU195">
        <v>0.94</v>
      </c>
    </row>
    <row r="196" spans="1:49">
      <c r="A196" t="s">
        <v>80</v>
      </c>
      <c r="B196" t="s">
        <v>823</v>
      </c>
      <c r="C196" t="s">
        <v>166</v>
      </c>
      <c r="D196" s="27" t="s">
        <v>841</v>
      </c>
      <c r="E196" s="11" t="s">
        <v>403</v>
      </c>
      <c r="H196" t="s">
        <v>817</v>
      </c>
      <c r="J196" t="s">
        <v>74</v>
      </c>
      <c r="L196" s="11" t="s">
        <v>128</v>
      </c>
      <c r="P196" t="s">
        <v>168</v>
      </c>
      <c r="Q196" s="13" t="s">
        <v>821</v>
      </c>
      <c r="R196" s="7" t="s">
        <v>822</v>
      </c>
      <c r="T196" s="13">
        <v>0</v>
      </c>
      <c r="U196" s="13">
        <v>2.5</v>
      </c>
      <c r="X196" t="s">
        <v>98</v>
      </c>
      <c r="AA196" t="s">
        <v>824</v>
      </c>
      <c r="AE196">
        <v>30</v>
      </c>
      <c r="AF196">
        <v>30</v>
      </c>
      <c r="AJ196" s="13">
        <v>1470</v>
      </c>
      <c r="AK196" s="13"/>
      <c r="AL196" s="13"/>
      <c r="AM196" s="13">
        <v>41</v>
      </c>
      <c r="AN196">
        <v>28</v>
      </c>
      <c r="AP196" t="s">
        <v>825</v>
      </c>
      <c r="AQ196" s="13">
        <f t="shared" si="17"/>
        <v>1.9047619047619049E-2</v>
      </c>
      <c r="AR196" s="13">
        <f t="shared" si="18"/>
        <v>28.84</v>
      </c>
      <c r="AS196" t="s">
        <v>826</v>
      </c>
      <c r="AU196">
        <v>1.1200000000000001</v>
      </c>
    </row>
    <row r="197" spans="1:49">
      <c r="A197" t="s">
        <v>80</v>
      </c>
      <c r="B197" t="s">
        <v>823</v>
      </c>
      <c r="C197" t="s">
        <v>166</v>
      </c>
      <c r="D197" s="27" t="s">
        <v>841</v>
      </c>
      <c r="E197" s="11" t="s">
        <v>403</v>
      </c>
      <c r="H197" t="s">
        <v>817</v>
      </c>
      <c r="J197" t="s">
        <v>74</v>
      </c>
      <c r="L197" s="11" t="s">
        <v>128</v>
      </c>
      <c r="P197" t="s">
        <v>168</v>
      </c>
      <c r="Q197" s="13" t="s">
        <v>821</v>
      </c>
      <c r="R197" s="7" t="s">
        <v>822</v>
      </c>
      <c r="T197" s="13">
        <v>0.65</v>
      </c>
      <c r="U197" s="13">
        <v>2.5</v>
      </c>
      <c r="X197" t="s">
        <v>98</v>
      </c>
      <c r="AA197" t="s">
        <v>824</v>
      </c>
      <c r="AE197">
        <v>30</v>
      </c>
      <c r="AF197">
        <v>30</v>
      </c>
      <c r="AJ197" s="13">
        <v>888</v>
      </c>
      <c r="AK197" s="13"/>
      <c r="AL197" s="13"/>
      <c r="AM197" s="13">
        <v>690</v>
      </c>
      <c r="AN197">
        <v>296</v>
      </c>
      <c r="AQ197" s="13">
        <f t="shared" si="17"/>
        <v>0.33333333333333331</v>
      </c>
      <c r="AR197" s="13">
        <f t="shared" si="18"/>
        <v>11.84</v>
      </c>
      <c r="AS197" t="s">
        <v>827</v>
      </c>
      <c r="AU197">
        <v>1.1200000000000001</v>
      </c>
    </row>
    <row r="198" spans="1:49">
      <c r="A198" t="s">
        <v>80</v>
      </c>
      <c r="B198" t="s">
        <v>823</v>
      </c>
      <c r="C198" t="s">
        <v>166</v>
      </c>
      <c r="D198" s="27" t="s">
        <v>841</v>
      </c>
      <c r="E198" s="11" t="s">
        <v>403</v>
      </c>
      <c r="H198" t="s">
        <v>817</v>
      </c>
      <c r="J198" t="s">
        <v>74</v>
      </c>
      <c r="L198" s="11" t="s">
        <v>128</v>
      </c>
      <c r="P198" t="s">
        <v>168</v>
      </c>
      <c r="Q198" s="13" t="s">
        <v>821</v>
      </c>
      <c r="R198" s="7" t="s">
        <v>822</v>
      </c>
      <c r="T198" s="13">
        <v>0.77</v>
      </c>
      <c r="U198" s="13">
        <v>2.5</v>
      </c>
      <c r="X198" t="s">
        <v>98</v>
      </c>
      <c r="AA198" t="s">
        <v>824</v>
      </c>
      <c r="AE198">
        <v>30</v>
      </c>
      <c r="AF198">
        <v>30</v>
      </c>
      <c r="AJ198" s="13">
        <v>450</v>
      </c>
      <c r="AK198" s="13"/>
      <c r="AL198" s="13"/>
      <c r="AM198" s="13">
        <v>430</v>
      </c>
      <c r="AN198">
        <v>424</v>
      </c>
      <c r="AO198">
        <v>401</v>
      </c>
      <c r="AQ198" s="13">
        <f t="shared" si="17"/>
        <v>0.94222222222222218</v>
      </c>
      <c r="AR198" s="13">
        <f t="shared" si="18"/>
        <v>0.52</v>
      </c>
      <c r="AS198">
        <v>0.78</v>
      </c>
      <c r="AU198">
        <v>1.1200000000000001</v>
      </c>
    </row>
    <row r="199" spans="1:49">
      <c r="A199" t="s">
        <v>80</v>
      </c>
      <c r="B199" t="s">
        <v>830</v>
      </c>
      <c r="C199" t="s">
        <v>166</v>
      </c>
      <c r="D199" s="27" t="s">
        <v>622</v>
      </c>
      <c r="E199" s="11" t="s">
        <v>403</v>
      </c>
      <c r="F199" t="s">
        <v>831</v>
      </c>
      <c r="H199" t="s">
        <v>817</v>
      </c>
      <c r="J199" t="s">
        <v>74</v>
      </c>
      <c r="L199" s="11" t="s">
        <v>832</v>
      </c>
      <c r="P199" t="s">
        <v>568</v>
      </c>
      <c r="Q199" s="13" t="s">
        <v>828</v>
      </c>
      <c r="R199" s="7" t="s">
        <v>829</v>
      </c>
      <c r="T199" s="13">
        <v>0.8</v>
      </c>
      <c r="U199" s="13">
        <v>2</v>
      </c>
      <c r="V199" t="s">
        <v>579</v>
      </c>
      <c r="X199" t="s">
        <v>98</v>
      </c>
      <c r="Y199" t="s">
        <v>85</v>
      </c>
      <c r="AC199">
        <v>0.3</v>
      </c>
      <c r="AD199">
        <v>0.3</v>
      </c>
      <c r="AE199">
        <v>100</v>
      </c>
      <c r="AF199">
        <v>100</v>
      </c>
      <c r="AH199">
        <v>350</v>
      </c>
      <c r="AJ199" s="13">
        <v>419</v>
      </c>
      <c r="AK199" s="13"/>
      <c r="AL199" s="13"/>
      <c r="AM199" s="13">
        <v>371</v>
      </c>
      <c r="AN199" s="13">
        <v>344</v>
      </c>
      <c r="AO199" s="13">
        <v>335</v>
      </c>
      <c r="AQ199" s="13">
        <f t="shared" si="17"/>
        <v>0.82100238663484482</v>
      </c>
      <c r="AR199" s="13">
        <f t="shared" si="18"/>
        <v>1.5</v>
      </c>
      <c r="AS199" t="s">
        <v>834</v>
      </c>
      <c r="AT199" t="s">
        <v>834</v>
      </c>
      <c r="AU199">
        <v>1.02</v>
      </c>
      <c r="AW199" t="s">
        <v>833</v>
      </c>
    </row>
    <row r="200" spans="1:49">
      <c r="A200">
        <v>30</v>
      </c>
      <c r="B200" t="s">
        <v>835</v>
      </c>
      <c r="C200" t="s">
        <v>166</v>
      </c>
      <c r="D200" s="27" t="s">
        <v>840</v>
      </c>
      <c r="E200" s="11" t="s">
        <v>403</v>
      </c>
      <c r="H200" t="s">
        <v>281</v>
      </c>
      <c r="J200" t="s">
        <v>74</v>
      </c>
      <c r="L200" s="11" t="s">
        <v>842</v>
      </c>
      <c r="P200" t="s">
        <v>168</v>
      </c>
      <c r="Q200" s="13" t="s">
        <v>836</v>
      </c>
      <c r="R200" s="7" t="s">
        <v>837</v>
      </c>
      <c r="T200" s="13">
        <v>0</v>
      </c>
      <c r="U200" s="13">
        <v>1.3</v>
      </c>
      <c r="X200" t="s">
        <v>386</v>
      </c>
      <c r="Y200" t="s">
        <v>418</v>
      </c>
      <c r="Z200" t="s">
        <v>839</v>
      </c>
      <c r="AA200" t="s">
        <v>838</v>
      </c>
      <c r="AC200">
        <v>0.24</v>
      </c>
      <c r="AD200">
        <v>0.24</v>
      </c>
      <c r="AE200" t="s">
        <v>846</v>
      </c>
      <c r="AF200" t="s">
        <v>846</v>
      </c>
      <c r="AH200">
        <v>793</v>
      </c>
      <c r="AJ200" s="13">
        <v>743</v>
      </c>
      <c r="AK200" s="13"/>
      <c r="AL200" s="13"/>
      <c r="AM200" s="13">
        <v>95</v>
      </c>
      <c r="AN200" s="13">
        <v>48</v>
      </c>
      <c r="AQ200" s="13">
        <f t="shared" si="17"/>
        <v>6.4602960969044415E-2</v>
      </c>
      <c r="AR200" s="13">
        <f t="shared" si="18"/>
        <v>13.9</v>
      </c>
      <c r="AS200" t="s">
        <v>843</v>
      </c>
      <c r="AT200" t="s">
        <v>844</v>
      </c>
      <c r="AU200" t="s">
        <v>845</v>
      </c>
    </row>
    <row r="201" spans="1:49">
      <c r="A201" t="s">
        <v>80</v>
      </c>
      <c r="B201" t="s">
        <v>849</v>
      </c>
      <c r="C201" t="s">
        <v>166</v>
      </c>
      <c r="D201" s="27" t="s">
        <v>850</v>
      </c>
      <c r="E201" s="11" t="s">
        <v>403</v>
      </c>
      <c r="H201" t="s">
        <v>817</v>
      </c>
      <c r="J201" t="s">
        <v>74</v>
      </c>
      <c r="L201" s="11" t="s">
        <v>851</v>
      </c>
      <c r="P201" t="s">
        <v>168</v>
      </c>
      <c r="Q201" s="13" t="s">
        <v>847</v>
      </c>
      <c r="R201" s="7" t="s">
        <v>848</v>
      </c>
      <c r="T201" s="13">
        <v>0</v>
      </c>
      <c r="U201" s="13">
        <v>1.2</v>
      </c>
      <c r="X201" t="s">
        <v>852</v>
      </c>
      <c r="Y201" t="s">
        <v>853</v>
      </c>
      <c r="Z201" t="s">
        <v>855</v>
      </c>
      <c r="AA201" t="s">
        <v>854</v>
      </c>
      <c r="AE201" t="s">
        <v>125</v>
      </c>
      <c r="AF201" t="s">
        <v>125</v>
      </c>
      <c r="AH201">
        <v>323</v>
      </c>
      <c r="AJ201" s="13">
        <v>493</v>
      </c>
      <c r="AK201" s="13"/>
      <c r="AL201" s="13"/>
      <c r="AM201" s="13">
        <v>290</v>
      </c>
      <c r="AS201" t="s">
        <v>856</v>
      </c>
    </row>
    <row r="202" spans="1:49">
      <c r="A202" t="s">
        <v>80</v>
      </c>
      <c r="B202" t="s">
        <v>858</v>
      </c>
      <c r="C202" t="s">
        <v>166</v>
      </c>
      <c r="D202" s="27" t="s">
        <v>622</v>
      </c>
      <c r="E202" s="11" t="s">
        <v>403</v>
      </c>
      <c r="H202" t="s">
        <v>73</v>
      </c>
      <c r="J202" t="s">
        <v>74</v>
      </c>
      <c r="L202" s="11" t="s">
        <v>859</v>
      </c>
      <c r="P202" t="s">
        <v>862</v>
      </c>
      <c r="Q202" s="13" t="s">
        <v>861</v>
      </c>
      <c r="R202" s="7" t="s">
        <v>857</v>
      </c>
      <c r="T202" s="13">
        <v>0.8</v>
      </c>
      <c r="U202" s="13">
        <v>2</v>
      </c>
      <c r="X202" t="s">
        <v>98</v>
      </c>
      <c r="Y202" t="s">
        <v>85</v>
      </c>
      <c r="Z202" t="s">
        <v>864</v>
      </c>
      <c r="AA202" t="s">
        <v>863</v>
      </c>
      <c r="AC202">
        <v>0.2</v>
      </c>
      <c r="AD202">
        <v>0.2</v>
      </c>
      <c r="AE202">
        <v>100</v>
      </c>
      <c r="AF202">
        <v>100</v>
      </c>
      <c r="AH202">
        <v>500</v>
      </c>
      <c r="AJ202" s="13">
        <v>160</v>
      </c>
      <c r="AK202" s="13"/>
      <c r="AL202" s="13"/>
      <c r="AM202" s="13">
        <v>114</v>
      </c>
      <c r="AN202">
        <v>110</v>
      </c>
      <c r="AO202">
        <v>103</v>
      </c>
      <c r="AQ202" s="13">
        <f>AN202/AJ202</f>
        <v>0.6875</v>
      </c>
      <c r="AR202" s="13">
        <f>(AJ202-AN202)/50</f>
        <v>1</v>
      </c>
      <c r="AS202">
        <v>1.1599999999999999</v>
      </c>
      <c r="AT202">
        <v>1.1599999999999999</v>
      </c>
      <c r="AU202">
        <v>1.37</v>
      </c>
      <c r="AW202" t="s">
        <v>860</v>
      </c>
    </row>
    <row r="203" spans="1:49">
      <c r="A203" t="s">
        <v>80</v>
      </c>
      <c r="B203" t="s">
        <v>865</v>
      </c>
      <c r="C203" t="s">
        <v>166</v>
      </c>
      <c r="D203" s="27" t="s">
        <v>869</v>
      </c>
      <c r="E203" s="11" t="s">
        <v>403</v>
      </c>
      <c r="H203" t="s">
        <v>73</v>
      </c>
      <c r="J203" t="s">
        <v>74</v>
      </c>
      <c r="L203" s="11" t="s">
        <v>851</v>
      </c>
      <c r="P203" t="s">
        <v>703</v>
      </c>
      <c r="Q203" t="s">
        <v>867</v>
      </c>
      <c r="R203" t="s">
        <v>868</v>
      </c>
      <c r="T203" s="13">
        <v>0</v>
      </c>
      <c r="U203" s="13">
        <v>1.5</v>
      </c>
      <c r="X203" t="s">
        <v>852</v>
      </c>
      <c r="Z203" t="s">
        <v>870</v>
      </c>
      <c r="AA203" t="s">
        <v>157</v>
      </c>
      <c r="AB203" t="s">
        <v>880</v>
      </c>
      <c r="AE203" t="s">
        <v>872</v>
      </c>
      <c r="AF203" t="s">
        <v>872</v>
      </c>
      <c r="AH203">
        <v>454</v>
      </c>
      <c r="AJ203" s="13">
        <v>419</v>
      </c>
      <c r="AK203" s="13"/>
      <c r="AL203" s="13"/>
      <c r="AM203" s="13">
        <v>322</v>
      </c>
      <c r="AP203" t="s">
        <v>178</v>
      </c>
      <c r="AS203" t="s">
        <v>873</v>
      </c>
      <c r="AT203" t="s">
        <v>874</v>
      </c>
      <c r="AU203" t="s">
        <v>875</v>
      </c>
    </row>
    <row r="204" spans="1:49">
      <c r="A204" t="s">
        <v>80</v>
      </c>
      <c r="B204" t="s">
        <v>866</v>
      </c>
      <c r="C204" t="s">
        <v>166</v>
      </c>
      <c r="D204" s="27" t="s">
        <v>869</v>
      </c>
      <c r="E204" s="11" t="s">
        <v>403</v>
      </c>
      <c r="H204" t="s">
        <v>73</v>
      </c>
      <c r="J204" t="s">
        <v>74</v>
      </c>
      <c r="L204" s="11" t="s">
        <v>851</v>
      </c>
      <c r="P204" t="s">
        <v>568</v>
      </c>
      <c r="Q204" t="s">
        <v>867</v>
      </c>
      <c r="R204" t="s">
        <v>868</v>
      </c>
      <c r="T204" s="13">
        <v>0</v>
      </c>
      <c r="U204" s="13">
        <v>1.5</v>
      </c>
      <c r="X204" t="s">
        <v>852</v>
      </c>
      <c r="Z204" t="s">
        <v>871</v>
      </c>
      <c r="AA204" t="s">
        <v>854</v>
      </c>
      <c r="AB204" t="s">
        <v>849</v>
      </c>
      <c r="AE204" t="s">
        <v>81</v>
      </c>
      <c r="AF204" t="s">
        <v>81</v>
      </c>
      <c r="AH204">
        <v>348</v>
      </c>
      <c r="AJ204" s="13">
        <v>421</v>
      </c>
      <c r="AK204" s="13"/>
      <c r="AL204" s="13"/>
      <c r="AM204" s="13">
        <v>265</v>
      </c>
      <c r="AS204" t="s">
        <v>876</v>
      </c>
      <c r="AT204" t="s">
        <v>878</v>
      </c>
      <c r="AU204" t="s">
        <v>877</v>
      </c>
    </row>
    <row r="205" spans="1:49" s="6" customFormat="1">
      <c r="B205" s="6" t="s">
        <v>881</v>
      </c>
      <c r="C205" s="6" t="s">
        <v>166</v>
      </c>
      <c r="D205" s="16" t="s">
        <v>885</v>
      </c>
      <c r="E205" s="16" t="s">
        <v>403</v>
      </c>
      <c r="L205" s="16" t="s">
        <v>886</v>
      </c>
      <c r="Q205" s="6" t="s">
        <v>882</v>
      </c>
      <c r="R205" s="6" t="s">
        <v>883</v>
      </c>
      <c r="AA205" s="6" t="s">
        <v>887</v>
      </c>
      <c r="AB205" s="6" t="s">
        <v>884</v>
      </c>
    </row>
    <row r="206" spans="1:49">
      <c r="A206" t="s">
        <v>80</v>
      </c>
      <c r="B206" t="s">
        <v>890</v>
      </c>
      <c r="C206" t="s">
        <v>166</v>
      </c>
      <c r="D206" s="27" t="s">
        <v>622</v>
      </c>
      <c r="E206" s="11" t="s">
        <v>403</v>
      </c>
      <c r="H206" t="s">
        <v>73</v>
      </c>
      <c r="J206" t="s">
        <v>74</v>
      </c>
      <c r="L206" s="11" t="s">
        <v>128</v>
      </c>
      <c r="P206" t="s">
        <v>168</v>
      </c>
      <c r="Q206" t="s">
        <v>888</v>
      </c>
      <c r="R206" s="7" t="s">
        <v>889</v>
      </c>
      <c r="T206" s="13">
        <v>0</v>
      </c>
      <c r="U206" s="13">
        <v>2</v>
      </c>
      <c r="X206" t="s">
        <v>98</v>
      </c>
      <c r="Y206" t="s">
        <v>85</v>
      </c>
      <c r="Z206" t="s">
        <v>891</v>
      </c>
      <c r="AA206" t="s">
        <v>676</v>
      </c>
      <c r="AE206">
        <v>100</v>
      </c>
      <c r="AF206">
        <v>100</v>
      </c>
      <c r="AJ206" s="13">
        <v>565</v>
      </c>
      <c r="AK206" s="13"/>
      <c r="AL206" s="13"/>
      <c r="AM206" s="13">
        <v>368</v>
      </c>
      <c r="AN206">
        <v>337</v>
      </c>
      <c r="AO206">
        <v>178</v>
      </c>
      <c r="AQ206" s="13">
        <f>AN206/AJ206</f>
        <v>0.59646017699115039</v>
      </c>
      <c r="AR206" s="13">
        <f>(AJ206-AN206)/50</f>
        <v>4.5599999999999996</v>
      </c>
      <c r="AS206">
        <v>0.33</v>
      </c>
      <c r="AT206">
        <v>0.83</v>
      </c>
      <c r="AU206">
        <v>1.01</v>
      </c>
    </row>
    <row r="207" spans="1:49" s="6" customFormat="1">
      <c r="B207" s="6" t="s">
        <v>908</v>
      </c>
      <c r="C207" s="6" t="s">
        <v>166</v>
      </c>
      <c r="D207" s="16" t="s">
        <v>912</v>
      </c>
      <c r="E207" s="16" t="s">
        <v>403</v>
      </c>
      <c r="H207" s="6" t="s">
        <v>911</v>
      </c>
      <c r="J207" s="6" t="s">
        <v>74</v>
      </c>
      <c r="L207" s="16" t="s">
        <v>84</v>
      </c>
      <c r="P207" s="6" t="s">
        <v>82</v>
      </c>
      <c r="Q207" s="6" t="s">
        <v>909</v>
      </c>
      <c r="R207" s="17" t="s">
        <v>910</v>
      </c>
      <c r="T207" s="6">
        <v>0</v>
      </c>
      <c r="U207" s="6">
        <v>3</v>
      </c>
      <c r="X207" s="6" t="s">
        <v>169</v>
      </c>
      <c r="Y207" s="6" t="s">
        <v>913</v>
      </c>
      <c r="Z207" s="6" t="s">
        <v>914</v>
      </c>
      <c r="AA207" s="6" t="s">
        <v>679</v>
      </c>
      <c r="AB207" s="6" t="s">
        <v>915</v>
      </c>
      <c r="AC207" s="6">
        <v>0.16700000000000001</v>
      </c>
      <c r="AD207" s="6">
        <v>0.16700000000000001</v>
      </c>
      <c r="AE207" s="6">
        <v>22.4</v>
      </c>
      <c r="AF207" s="6">
        <v>22.4</v>
      </c>
      <c r="AW207" s="6" t="s">
        <v>916</v>
      </c>
    </row>
    <row r="208" spans="1:49">
      <c r="A208" t="s">
        <v>80</v>
      </c>
      <c r="B208" t="s">
        <v>893</v>
      </c>
      <c r="C208" t="s">
        <v>166</v>
      </c>
      <c r="D208" s="11" t="s">
        <v>236</v>
      </c>
      <c r="E208" s="11" t="s">
        <v>403</v>
      </c>
      <c r="F208" t="s">
        <v>897</v>
      </c>
      <c r="H208" t="s">
        <v>896</v>
      </c>
      <c r="J208" t="s">
        <v>74</v>
      </c>
      <c r="L208" s="11" t="s">
        <v>128</v>
      </c>
      <c r="P208" t="s">
        <v>82</v>
      </c>
      <c r="Q208" t="s">
        <v>894</v>
      </c>
      <c r="R208" s="7" t="s">
        <v>895</v>
      </c>
      <c r="T208">
        <v>5.0000000000000001E-3</v>
      </c>
      <c r="U208">
        <v>3</v>
      </c>
      <c r="V208" t="s">
        <v>901</v>
      </c>
      <c r="X208" t="s">
        <v>145</v>
      </c>
      <c r="Y208" t="s">
        <v>898</v>
      </c>
      <c r="Z208" t="s">
        <v>900</v>
      </c>
      <c r="AA208" t="s">
        <v>838</v>
      </c>
      <c r="AB208" t="s">
        <v>899</v>
      </c>
      <c r="AC208">
        <v>0.33</v>
      </c>
      <c r="AD208">
        <v>0.33</v>
      </c>
      <c r="AE208">
        <v>250</v>
      </c>
      <c r="AF208">
        <v>250</v>
      </c>
      <c r="AG208">
        <v>5.8000000000000003E-2</v>
      </c>
      <c r="AH208">
        <v>1102</v>
      </c>
      <c r="AJ208">
        <v>1080</v>
      </c>
      <c r="AK208">
        <v>760</v>
      </c>
      <c r="AL208">
        <v>755</v>
      </c>
      <c r="AM208">
        <v>797</v>
      </c>
      <c r="AN208">
        <v>875</v>
      </c>
      <c r="AQ208" s="13">
        <f>AN208/AJ208</f>
        <v>0.81018518518518523</v>
      </c>
      <c r="AR208" s="13">
        <f>(AJ208-AN208)/50</f>
        <v>4.0999999999999996</v>
      </c>
      <c r="AS208" t="s">
        <v>905</v>
      </c>
      <c r="AT208" t="s">
        <v>907</v>
      </c>
      <c r="AU208" t="s">
        <v>906</v>
      </c>
      <c r="AW208" t="s">
        <v>904</v>
      </c>
    </row>
    <row r="209" spans="1:48" s="13" customFormat="1">
      <c r="A209" s="13" t="s">
        <v>80</v>
      </c>
      <c r="B209" s="13" t="s">
        <v>892</v>
      </c>
      <c r="C209" s="13" t="s">
        <v>166</v>
      </c>
      <c r="D209" s="27" t="s">
        <v>236</v>
      </c>
      <c r="E209" s="27" t="s">
        <v>403</v>
      </c>
      <c r="H209" s="13" t="s">
        <v>919</v>
      </c>
      <c r="J209" s="13" t="s">
        <v>74</v>
      </c>
      <c r="L209" s="27" t="s">
        <v>84</v>
      </c>
      <c r="P209" s="13" t="s">
        <v>82</v>
      </c>
      <c r="Q209" s="13" t="s">
        <v>917</v>
      </c>
      <c r="R209" s="28" t="s">
        <v>918</v>
      </c>
      <c r="T209" s="13">
        <v>0.01</v>
      </c>
      <c r="U209" s="13">
        <v>3.5</v>
      </c>
      <c r="Z209" s="13" t="s">
        <v>923</v>
      </c>
      <c r="AA209" s="13" t="s">
        <v>136</v>
      </c>
      <c r="AB209" s="13" t="s">
        <v>924</v>
      </c>
      <c r="AC209" s="13">
        <v>0.19</v>
      </c>
      <c r="AD209" s="13">
        <v>0.19</v>
      </c>
      <c r="AE209" s="13">
        <v>233</v>
      </c>
      <c r="AF209" s="13">
        <v>233</v>
      </c>
      <c r="AG209" s="13">
        <v>0.1</v>
      </c>
      <c r="AH209" s="13">
        <v>1236</v>
      </c>
      <c r="AJ209" s="13">
        <v>1519</v>
      </c>
      <c r="AK209" s="13">
        <v>1238</v>
      </c>
      <c r="AL209" s="13">
        <v>1148</v>
      </c>
      <c r="AM209" s="13">
        <v>818</v>
      </c>
      <c r="AN209" s="13">
        <v>801</v>
      </c>
      <c r="AQ209" s="13">
        <f>AN209/AJ209</f>
        <v>0.52732060566161953</v>
      </c>
      <c r="AR209" s="13">
        <f>(AJ209-AN209)/50</f>
        <v>14.36</v>
      </c>
      <c r="AS209" s="13" t="s">
        <v>920</v>
      </c>
      <c r="AT209" s="13" t="s">
        <v>921</v>
      </c>
      <c r="AU209" s="13" t="s">
        <v>922</v>
      </c>
    </row>
    <row r="210" spans="1:48">
      <c r="A210" s="13" t="s">
        <v>80</v>
      </c>
      <c r="B210" s="13" t="s">
        <v>925</v>
      </c>
      <c r="C210" s="13" t="s">
        <v>166</v>
      </c>
      <c r="D210" s="27" t="s">
        <v>930</v>
      </c>
      <c r="E210" s="11" t="s">
        <v>403</v>
      </c>
      <c r="H210" s="13" t="s">
        <v>911</v>
      </c>
      <c r="J210" s="13" t="s">
        <v>74</v>
      </c>
      <c r="L210" s="27" t="s">
        <v>929</v>
      </c>
      <c r="P210" s="13" t="s">
        <v>100</v>
      </c>
      <c r="Q210" s="13" t="s">
        <v>926</v>
      </c>
      <c r="R210" s="7" t="s">
        <v>927</v>
      </c>
      <c r="T210" s="13">
        <v>0.25</v>
      </c>
      <c r="U210" s="13">
        <v>2.2000000000000002</v>
      </c>
      <c r="V210">
        <v>30</v>
      </c>
      <c r="X210" s="13" t="s">
        <v>169</v>
      </c>
      <c r="Y210" s="13" t="s">
        <v>913</v>
      </c>
      <c r="Z210" s="13" t="s">
        <v>931</v>
      </c>
      <c r="AA210" s="13" t="s">
        <v>690</v>
      </c>
      <c r="AB210" s="13" t="s">
        <v>928</v>
      </c>
      <c r="AC210" s="8">
        <v>0.2</v>
      </c>
      <c r="AD210" s="13">
        <v>0.2</v>
      </c>
      <c r="AJ210" s="13">
        <v>850</v>
      </c>
      <c r="AL210">
        <v>312</v>
      </c>
      <c r="AM210" s="13">
        <v>312</v>
      </c>
      <c r="AN210" s="13">
        <v>308</v>
      </c>
      <c r="AQ210" s="13">
        <f>AN210/AJ210</f>
        <v>0.3623529411764706</v>
      </c>
      <c r="AR210" s="13">
        <f>(AJ210-AN210)/50</f>
        <v>10.84</v>
      </c>
      <c r="AS210" t="s">
        <v>932</v>
      </c>
      <c r="AT210" t="s">
        <v>933</v>
      </c>
      <c r="AU210">
        <v>1.06</v>
      </c>
      <c r="AV210">
        <v>0.63</v>
      </c>
    </row>
    <row r="211" spans="1:48">
      <c r="A211" s="13" t="s">
        <v>80</v>
      </c>
      <c r="B211" s="13" t="s">
        <v>936</v>
      </c>
      <c r="C211" s="13" t="s">
        <v>166</v>
      </c>
      <c r="D211" s="27" t="s">
        <v>236</v>
      </c>
      <c r="E211" s="11" t="s">
        <v>403</v>
      </c>
      <c r="F211" s="13" t="s">
        <v>937</v>
      </c>
      <c r="H211" s="13" t="s">
        <v>628</v>
      </c>
      <c r="J211" s="13" t="s">
        <v>74</v>
      </c>
      <c r="L211" s="27" t="s">
        <v>929</v>
      </c>
      <c r="P211" s="13" t="s">
        <v>82</v>
      </c>
      <c r="Q211" s="13" t="s">
        <v>934</v>
      </c>
      <c r="R211" s="7" t="s">
        <v>935</v>
      </c>
      <c r="T211" s="13">
        <v>0</v>
      </c>
      <c r="U211" s="13">
        <v>2</v>
      </c>
      <c r="AA211" s="13" t="s">
        <v>941</v>
      </c>
      <c r="AB211" s="13" t="s">
        <v>936</v>
      </c>
      <c r="AC211" s="8">
        <v>0.1</v>
      </c>
      <c r="AD211" s="13">
        <v>0.1</v>
      </c>
      <c r="AE211">
        <v>39</v>
      </c>
      <c r="AF211">
        <v>39</v>
      </c>
      <c r="AH211">
        <v>390</v>
      </c>
      <c r="AJ211" s="13">
        <v>254</v>
      </c>
      <c r="AK211" s="13">
        <v>76</v>
      </c>
      <c r="AL211">
        <v>91</v>
      </c>
      <c r="AM211" s="13">
        <v>20</v>
      </c>
      <c r="AS211" t="s">
        <v>938</v>
      </c>
      <c r="AT211" t="s">
        <v>939</v>
      </c>
      <c r="AU211" t="s">
        <v>940</v>
      </c>
    </row>
    <row r="212" spans="1:48">
      <c r="A212" t="s">
        <v>80</v>
      </c>
      <c r="B212" s="13" t="s">
        <v>942</v>
      </c>
      <c r="C212" s="13" t="s">
        <v>166</v>
      </c>
      <c r="D212" s="27" t="s">
        <v>947</v>
      </c>
      <c r="E212" s="11" t="s">
        <v>403</v>
      </c>
      <c r="H212" s="13" t="s">
        <v>911</v>
      </c>
      <c r="J212" s="13" t="s">
        <v>74</v>
      </c>
      <c r="L212" s="27" t="s">
        <v>946</v>
      </c>
      <c r="P212" s="13" t="s">
        <v>82</v>
      </c>
      <c r="Q212" s="13" t="s">
        <v>943</v>
      </c>
      <c r="R212" s="7" t="s">
        <v>944</v>
      </c>
      <c r="T212" s="13">
        <v>0.5</v>
      </c>
      <c r="U212" s="13">
        <v>2</v>
      </c>
      <c r="V212">
        <v>1.5</v>
      </c>
      <c r="X212" t="s">
        <v>169</v>
      </c>
      <c r="Y212" t="s">
        <v>913</v>
      </c>
      <c r="Z212" t="s">
        <v>945</v>
      </c>
      <c r="AA212" s="13" t="s">
        <v>887</v>
      </c>
      <c r="AB212" s="13" t="s">
        <v>884</v>
      </c>
      <c r="AC212" s="8">
        <v>0.1</v>
      </c>
      <c r="AD212" s="13">
        <v>0.1</v>
      </c>
      <c r="AE212">
        <v>170</v>
      </c>
      <c r="AF212">
        <v>170</v>
      </c>
      <c r="AH212">
        <v>1700</v>
      </c>
      <c r="AJ212" s="13">
        <v>681</v>
      </c>
      <c r="AL212">
        <v>654</v>
      </c>
      <c r="AM212" s="13">
        <v>639</v>
      </c>
      <c r="AP212" t="s">
        <v>178</v>
      </c>
      <c r="AS212" t="s">
        <v>948</v>
      </c>
      <c r="AU212" t="s">
        <v>949</v>
      </c>
    </row>
    <row r="213" spans="1:48">
      <c r="A213" t="s">
        <v>80</v>
      </c>
      <c r="B213" s="13" t="s">
        <v>952</v>
      </c>
      <c r="C213" s="13" t="s">
        <v>166</v>
      </c>
      <c r="D213" s="11" t="s">
        <v>954</v>
      </c>
      <c r="E213" s="11" t="s">
        <v>403</v>
      </c>
      <c r="H213" s="13" t="s">
        <v>817</v>
      </c>
      <c r="J213" t="s">
        <v>74</v>
      </c>
      <c r="L213" s="27" t="s">
        <v>84</v>
      </c>
      <c r="P213" t="s">
        <v>959</v>
      </c>
      <c r="Q213" s="13" t="s">
        <v>950</v>
      </c>
      <c r="R213" s="7" t="s">
        <v>951</v>
      </c>
      <c r="T213">
        <v>0</v>
      </c>
      <c r="U213">
        <v>1.3</v>
      </c>
      <c r="X213" t="s">
        <v>114</v>
      </c>
      <c r="AE213" t="s">
        <v>955</v>
      </c>
      <c r="AF213" t="s">
        <v>955</v>
      </c>
      <c r="AJ213" s="13">
        <v>1325</v>
      </c>
      <c r="AK213">
        <v>815</v>
      </c>
      <c r="AL213">
        <v>770</v>
      </c>
      <c r="AM213" s="13">
        <v>360</v>
      </c>
      <c r="AP213" t="s">
        <v>631</v>
      </c>
      <c r="AS213">
        <v>0.62</v>
      </c>
      <c r="AT213">
        <v>0.76</v>
      </c>
      <c r="AU213" t="s">
        <v>958</v>
      </c>
    </row>
    <row r="214" spans="1:48">
      <c r="A214" t="s">
        <v>80</v>
      </c>
      <c r="B214" s="13" t="s">
        <v>953</v>
      </c>
      <c r="C214" s="13" t="s">
        <v>166</v>
      </c>
      <c r="D214" s="11" t="s">
        <v>954</v>
      </c>
      <c r="E214" s="11" t="s">
        <v>403</v>
      </c>
      <c r="H214" s="13" t="s">
        <v>817</v>
      </c>
      <c r="J214" t="s">
        <v>74</v>
      </c>
      <c r="L214" s="27" t="s">
        <v>84</v>
      </c>
      <c r="P214" t="s">
        <v>959</v>
      </c>
      <c r="Q214" s="13" t="s">
        <v>950</v>
      </c>
      <c r="R214" s="7" t="s">
        <v>951</v>
      </c>
      <c r="T214">
        <v>0</v>
      </c>
      <c r="U214">
        <v>1.3</v>
      </c>
      <c r="X214" t="s">
        <v>114</v>
      </c>
      <c r="AE214" t="s">
        <v>955</v>
      </c>
      <c r="AF214" t="s">
        <v>955</v>
      </c>
      <c r="AJ214" s="13">
        <v>757</v>
      </c>
      <c r="AK214">
        <v>757</v>
      </c>
      <c r="AL214">
        <v>706</v>
      </c>
      <c r="AM214" s="13">
        <v>359</v>
      </c>
      <c r="AP214" t="s">
        <v>956</v>
      </c>
      <c r="AS214">
        <v>0.62</v>
      </c>
      <c r="AT214">
        <v>0.83</v>
      </c>
      <c r="AU214" t="s">
        <v>957</v>
      </c>
    </row>
  </sheetData>
  <hyperlinks>
    <hyperlink ref="R37" r:id="rId1"/>
    <hyperlink ref="R38" r:id="rId2"/>
    <hyperlink ref="R39" r:id="rId3"/>
    <hyperlink ref="R40" r:id="rId4"/>
    <hyperlink ref="R41" r:id="rId5"/>
    <hyperlink ref="R8" r:id="rId6"/>
    <hyperlink ref="R9" r:id="rId7"/>
    <hyperlink ref="R10" r:id="rId8"/>
    <hyperlink ref="R11" r:id="rId9"/>
    <hyperlink ref="R42" r:id="rId10"/>
    <hyperlink ref="R16" r:id="rId11"/>
    <hyperlink ref="R13" r:id="rId12"/>
    <hyperlink ref="R14" r:id="rId13"/>
    <hyperlink ref="R15" r:id="rId14"/>
    <hyperlink ref="R48" r:id="rId15"/>
    <hyperlink ref="R49" r:id="rId16"/>
    <hyperlink ref="R50" r:id="rId17"/>
    <hyperlink ref="R51" r:id="rId18"/>
    <hyperlink ref="R52" r:id="rId19"/>
    <hyperlink ref="R53" r:id="rId20"/>
    <hyperlink ref="R18" r:id="rId21"/>
    <hyperlink ref="R19" r:id="rId22"/>
    <hyperlink ref="R20" r:id="rId23"/>
    <hyperlink ref="R21" r:id="rId24"/>
    <hyperlink ref="R22" r:id="rId25"/>
    <hyperlink ref="R54" r:id="rId26"/>
    <hyperlink ref="R55" r:id="rId27"/>
    <hyperlink ref="R56" r:id="rId28"/>
    <hyperlink ref="R57:R71" r:id="rId29" display="http://dx.doi.org/10.1016/j.electacta.2007.06.066"/>
    <hyperlink ref="R72" r:id="rId30"/>
    <hyperlink ref="R73" r:id="rId31"/>
    <hyperlink ref="R74" r:id="rId32"/>
    <hyperlink ref="R75" r:id="rId33"/>
    <hyperlink ref="R76" r:id="rId34"/>
    <hyperlink ref="R77" r:id="rId35"/>
    <hyperlink ref="R78" r:id="rId36"/>
    <hyperlink ref="R79" r:id="rId37"/>
    <hyperlink ref="R80" r:id="rId38"/>
    <hyperlink ref="R81" r:id="rId39"/>
    <hyperlink ref="R82" r:id="rId40"/>
    <hyperlink ref="R83" r:id="rId41"/>
    <hyperlink ref="R84" r:id="rId42"/>
    <hyperlink ref="R85:R91" r:id="rId43" display="http://dx.doi.org/10.1016/j.jpowsour.2005.03.095"/>
    <hyperlink ref="R92" r:id="rId44"/>
    <hyperlink ref="R93" r:id="rId45"/>
    <hyperlink ref="R94" r:id="rId46"/>
    <hyperlink ref="R95" r:id="rId47"/>
    <hyperlink ref="R96" r:id="rId48"/>
    <hyperlink ref="R99" r:id="rId49"/>
    <hyperlink ref="R100" r:id="rId50"/>
    <hyperlink ref="R105" r:id="rId51"/>
    <hyperlink ref="R106" r:id="rId52"/>
    <hyperlink ref="R107" r:id="rId53"/>
    <hyperlink ref="R108" r:id="rId54"/>
    <hyperlink ref="R110" r:id="rId55"/>
    <hyperlink ref="R109" r:id="rId56"/>
    <hyperlink ref="R114" r:id="rId57"/>
    <hyperlink ref="R115" r:id="rId58"/>
    <hyperlink ref="R116" r:id="rId59"/>
    <hyperlink ref="R117" r:id="rId60"/>
    <hyperlink ref="R118" r:id="rId61"/>
    <hyperlink ref="R119" r:id="rId62"/>
    <hyperlink ref="R120" r:id="rId63"/>
    <hyperlink ref="R121" r:id="rId64"/>
    <hyperlink ref="R123" r:id="rId65"/>
    <hyperlink ref="R124:R126" r:id="rId66" display="http://dx.doi.org/10.1016/j.powtec.2012.05.035"/>
    <hyperlink ref="R127" r:id="rId67"/>
    <hyperlink ref="R128" r:id="rId68"/>
    <hyperlink ref="R129" r:id="rId69"/>
    <hyperlink ref="R130" r:id="rId70"/>
    <hyperlink ref="R131" r:id="rId71"/>
    <hyperlink ref="R132" r:id="rId72"/>
    <hyperlink ref="R135" r:id="rId73"/>
    <hyperlink ref="R136" r:id="rId74"/>
    <hyperlink ref="R134" r:id="rId75"/>
    <hyperlink ref="R137" r:id="rId76"/>
    <hyperlink ref="R138" r:id="rId77"/>
    <hyperlink ref="R139:R141" r:id="rId78" display="http://dx.doi.org/10.1016/S0167-2738(02)00362-4"/>
    <hyperlink ref="R142" r:id="rId79"/>
    <hyperlink ref="R143" r:id="rId80"/>
    <hyperlink ref="R144" r:id="rId81"/>
    <hyperlink ref="R145" r:id="rId82"/>
    <hyperlink ref="R146" r:id="rId83"/>
    <hyperlink ref="R147" r:id="rId84"/>
    <hyperlink ref="R148" r:id="rId85"/>
    <hyperlink ref="R150" r:id="rId86"/>
    <hyperlink ref="R151" r:id="rId87"/>
    <hyperlink ref="R152" r:id="rId88"/>
    <hyperlink ref="R153" r:id="rId89"/>
    <hyperlink ref="R154" r:id="rId90"/>
    <hyperlink ref="R155" r:id="rId91"/>
    <hyperlink ref="R156" r:id="rId92"/>
    <hyperlink ref="R157" r:id="rId93"/>
    <hyperlink ref="R158" r:id="rId94"/>
    <hyperlink ref="R159" r:id="rId95"/>
    <hyperlink ref="R160" r:id="rId96"/>
    <hyperlink ref="R161" r:id="rId97"/>
    <hyperlink ref="R162" r:id="rId98"/>
    <hyperlink ref="R163:R165" r:id="rId99" display="http://dx.doi.org/10.1149/1.1393889"/>
    <hyperlink ref="R166" r:id="rId100"/>
    <hyperlink ref="R167" r:id="rId101"/>
    <hyperlink ref="R168" r:id="rId102"/>
    <hyperlink ref="R169" r:id="rId103"/>
    <hyperlink ref="R170" r:id="rId104"/>
    <hyperlink ref="R171" r:id="rId105"/>
    <hyperlink ref="R172" r:id="rId106"/>
    <hyperlink ref="R173" r:id="rId107"/>
    <hyperlink ref="R174" r:id="rId108"/>
    <hyperlink ref="R175" r:id="rId109"/>
    <hyperlink ref="R176" r:id="rId110"/>
    <hyperlink ref="R177" r:id="rId111"/>
    <hyperlink ref="R178" r:id="rId112"/>
    <hyperlink ref="R179" r:id="rId113"/>
    <hyperlink ref="R180" r:id="rId114"/>
    <hyperlink ref="R181" r:id="rId115"/>
    <hyperlink ref="R182" r:id="rId116"/>
    <hyperlink ref="R183" r:id="rId117"/>
    <hyperlink ref="R184:R186" r:id="rId118" display="http://dx.doi.org/10.1149/1.1602331"/>
    <hyperlink ref="R187" r:id="rId119"/>
    <hyperlink ref="R189" r:id="rId120"/>
    <hyperlink ref="R190" r:id="rId121"/>
    <hyperlink ref="R191" r:id="rId122"/>
    <hyperlink ref="R192" r:id="rId123"/>
    <hyperlink ref="R193" r:id="rId124"/>
    <hyperlink ref="R194" r:id="rId125"/>
    <hyperlink ref="R195" r:id="rId126"/>
    <hyperlink ref="R196" r:id="rId127"/>
    <hyperlink ref="R197" r:id="rId128"/>
    <hyperlink ref="R198" r:id="rId129"/>
    <hyperlink ref="R199" r:id="rId130"/>
    <hyperlink ref="R200" r:id="rId131"/>
    <hyperlink ref="R201" r:id="rId132"/>
    <hyperlink ref="R202" r:id="rId133"/>
    <hyperlink ref="R206" r:id="rId134"/>
    <hyperlink ref="R208" r:id="rId135"/>
    <hyperlink ref="R207" r:id="rId136"/>
    <hyperlink ref="R209" r:id="rId137"/>
    <hyperlink ref="R210" r:id="rId138" display="http://dx.doi.org/10.1021/cm051245j"/>
    <hyperlink ref="R211" r:id="rId139"/>
    <hyperlink ref="R212" r:id="rId140"/>
    <hyperlink ref="R213" r:id="rId141"/>
    <hyperlink ref="R214" r:id="rId142"/>
  </hyperlinks>
  <pageMargins left="0.75" right="0.75" top="1" bottom="1" header="0.5" footer="0.5"/>
  <pageSetup orientation="portrait" horizontalDpi="4294967292" verticalDpi="4294967292"/>
  <headerFooter alignWithMargins="0"/>
  <ignoredErrors>
    <ignoredError sqref="W17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UCSB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Abby Goldman</dc:creator>
  <cp:keywords/>
  <dc:description/>
  <cp:lastModifiedBy>Vinay Hegde</cp:lastModifiedBy>
  <dcterms:created xsi:type="dcterms:W3CDTF">2013-11-07T21:44:11Z</dcterms:created>
  <dcterms:modified xsi:type="dcterms:W3CDTF">2021-01-29T18:25:53Z</dcterms:modified>
  <cp:category/>
</cp:coreProperties>
</file>